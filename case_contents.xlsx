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_contents" sheetId="1" state="visible" r:id="rId3"/>
    <sheet name="covert_tradeup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<sst xmlns="http://schemas.openxmlformats.org/spreadsheetml/2006/main" count="330" uniqueCount="152">
  <si>
    <t xml:space="preserve">CS2 Case Contents &amp; Price Data</t>
  </si>
  <si>
    <t xml:space="preserve">Source: Valve official drop rates | Prices: fill from csgostash.com or Steam Market | Wear weights: FN=3%, FT=35%, BS=17% (community-verified)</t>
  </si>
  <si>
    <t xml:space="preserve">case_name</t>
  </si>
  <si>
    <t xml:space="preserve">key_cost_usd</t>
  </si>
  <si>
    <t xml:space="preserve">skin_name</t>
  </si>
  <si>
    <t xml:space="preserve">rarity</t>
  </si>
  <si>
    <t xml:space="preserve">rarity_prob</t>
  </si>
  <si>
    <t xml:space="preserve">has_FN</t>
  </si>
  <si>
    <t xml:space="preserve">has_FT</t>
  </si>
  <si>
    <t xml:space="preserve">has_BS</t>
  </si>
  <si>
    <t xml:space="preserve">price_FN_usd</t>
  </si>
  <si>
    <t xml:space="preserve">price_FT_usd</t>
  </si>
  <si>
    <t xml:space="preserve">price_BS_usd</t>
  </si>
  <si>
    <t xml:space="preserve">skin_ev_usd</t>
  </si>
  <si>
    <t xml:space="preserve">Kilowatt Case</t>
  </si>
  <si>
    <t xml:space="preserve">AWP | Chrome Cannon</t>
  </si>
  <si>
    <t xml:space="preserve">Covert</t>
  </si>
  <si>
    <t xml:space="preserve">AK-47 | Inheritance</t>
  </si>
  <si>
    <t xml:space="preserve">USP-S | Jawbreaker</t>
  </si>
  <si>
    <t xml:space="preserve">Classified</t>
  </si>
  <si>
    <t xml:space="preserve">Zeus x27 | Olympus</t>
  </si>
  <si>
    <t xml:space="preserve">M4A1-S | Black Lotus</t>
  </si>
  <si>
    <t xml:space="preserve">M4A4 | Etch Lord</t>
  </si>
  <si>
    <t xml:space="preserve">Restricted</t>
  </si>
  <si>
    <t xml:space="preserve">Five-SeveN | Hybrid</t>
  </si>
  <si>
    <t xml:space="preserve">MP7 | Just Smile</t>
  </si>
  <si>
    <t xml:space="preserve">Sawed-Off | Analog Input</t>
  </si>
  <si>
    <t xml:space="preserve">Glock-18 | Block-18</t>
  </si>
  <si>
    <t xml:space="preserve">Dual Berettas | Hideout</t>
  </si>
  <si>
    <t xml:space="preserve">Mil-Spec</t>
  </si>
  <si>
    <t xml:space="preserve">Nova | Dark Sigil</t>
  </si>
  <si>
    <t xml:space="preserve">Tec-9 | Slag</t>
  </si>
  <si>
    <t xml:space="preserve">UMP-45 | Motorized</t>
  </si>
  <si>
    <t xml:space="preserve">MAC-10 | Light Box</t>
  </si>
  <si>
    <t xml:space="preserve">SSG 08 | Dezastre</t>
  </si>
  <si>
    <t xml:space="preserve">XM1014 | Irezumi</t>
  </si>
  <si>
    <t xml:space="preserve">Knife/Gloves (Kukri)</t>
  </si>
  <si>
    <t xml:space="preserve">Knife/Gloves</t>
  </si>
  <si>
    <t xml:space="preserve">Revolution Case</t>
  </si>
  <si>
    <t xml:space="preserve">AK-47 | Head Shot</t>
  </si>
  <si>
    <t xml:space="preserve">M4A4 | Temukau</t>
  </si>
  <si>
    <t xml:space="preserve">AWP | Duality</t>
  </si>
  <si>
    <t xml:space="preserve">P2000 | Wicked Sick</t>
  </si>
  <si>
    <t xml:space="preserve">UMP-45 | Wild Child</t>
  </si>
  <si>
    <t xml:space="preserve">Glock-18 | Umbral Rabbit</t>
  </si>
  <si>
    <t xml:space="preserve">M4A1-S | Emphorosaur-S</t>
  </si>
  <si>
    <t xml:space="preserve">MAC-10 | Sakkaku</t>
  </si>
  <si>
    <t xml:space="preserve">P90 | Neoqueen</t>
  </si>
  <si>
    <t xml:space="preserve">R8 Revolver | Banana Cannon</t>
  </si>
  <si>
    <t xml:space="preserve">MAG-7 | Foresight</t>
  </si>
  <si>
    <t xml:space="preserve">MP5-SD | Liquidation</t>
  </si>
  <si>
    <t xml:space="preserve">MP9 | Featherweight</t>
  </si>
  <si>
    <t xml:space="preserve">P250 | Verdigris</t>
  </si>
  <si>
    <t xml:space="preserve">SCAR-20 | Fragments</t>
  </si>
  <si>
    <t xml:space="preserve">SG 553 | Cyberforce</t>
  </si>
  <si>
    <t xml:space="preserve">Tec-9 | Rebel</t>
  </si>
  <si>
    <t xml:space="preserve">Gloves (Rare Special)</t>
  </si>
  <si>
    <t xml:space="preserve">Fracture Case</t>
  </si>
  <si>
    <t xml:space="preserve">AK-47 | Legion of Anubis</t>
  </si>
  <si>
    <t xml:space="preserve">Desert Eagle | Printstream</t>
  </si>
  <si>
    <t xml:space="preserve">Glock-18 | Vogue</t>
  </si>
  <si>
    <t xml:space="preserve">M4A4 | Tooth Fairy</t>
  </si>
  <si>
    <t xml:space="preserve">XM1014 | Entombed</t>
  </si>
  <si>
    <t xml:space="preserve">C4 Bomb | Howitzer</t>
  </si>
  <si>
    <t xml:space="preserve">Galil AR | Connexion</t>
  </si>
  <si>
    <t xml:space="preserve">MAG-7 | Monster Call</t>
  </si>
  <si>
    <t xml:space="preserve">MP5-SD | Lab Rats</t>
  </si>
  <si>
    <t xml:space="preserve">Tec-9 | Brother</t>
  </si>
  <si>
    <t xml:space="preserve">AUG | Amber Slipstream</t>
  </si>
  <si>
    <t xml:space="preserve">CZ75-Auto | Distressed</t>
  </si>
  <si>
    <t xml:space="preserve">Five-SeveN | Angry Mob</t>
  </si>
  <si>
    <t xml:space="preserve">P90 | Freight</t>
  </si>
  <si>
    <t xml:space="preserve">SG 553 | Ol' Rusty</t>
  </si>
  <si>
    <t xml:space="preserve">SSG 08 | Mainframe 001</t>
  </si>
  <si>
    <t xml:space="preserve">UMP-45 | Scaffold</t>
  </si>
  <si>
    <t xml:space="preserve">Knife (Rare Special)</t>
  </si>
  <si>
    <t xml:space="preserve">Glove Case</t>
  </si>
  <si>
    <t xml:space="preserve">AK-47 | Bloodsport</t>
  </si>
  <si>
    <t xml:space="preserve">AWP | Hyper Beast</t>
  </si>
  <si>
    <t xml:space="preserve">M4A4 | Buzz Kill</t>
  </si>
  <si>
    <t xml:space="preserve">MP7 | Fade</t>
  </si>
  <si>
    <t xml:space="preserve">P250 | See Ya Later</t>
  </si>
  <si>
    <t xml:space="preserve">AUG | Aristocrat</t>
  </si>
  <si>
    <t xml:space="preserve">CZ75-Auto | Emerald Quartz</t>
  </si>
  <si>
    <t xml:space="preserve">Glock-18 | Wasteland Rebel</t>
  </si>
  <si>
    <t xml:space="preserve">MAC-10 | Rangeen</t>
  </si>
  <si>
    <t xml:space="preserve">Tec-9 | Avalanche</t>
  </si>
  <si>
    <t xml:space="preserve">Dual Berettas | Dualing Dragons</t>
  </si>
  <si>
    <t xml:space="preserve">FAMAS | Spitfire</t>
  </si>
  <si>
    <t xml:space="preserve">MAG-7 | Praetorian</t>
  </si>
  <si>
    <t xml:space="preserve">MP9 | Bioleak</t>
  </si>
  <si>
    <t xml:space="preserve">Nova | Antique</t>
  </si>
  <si>
    <t xml:space="preserve">P90 | Shallow Grave</t>
  </si>
  <si>
    <t xml:space="preserve">Sawed-Off | Wasteland Princess</t>
  </si>
  <si>
    <t xml:space="preserve">Chroma 2 Case</t>
  </si>
  <si>
    <t xml:space="preserve">M4A1-S | Hyper Beast</t>
  </si>
  <si>
    <t xml:space="preserve">MAC-10 | Neon Rider</t>
  </si>
  <si>
    <t xml:space="preserve">FAMAS | Djinn</t>
  </si>
  <si>
    <t xml:space="preserve">Five-SeveN | Monkey Business</t>
  </si>
  <si>
    <t xml:space="preserve">Galil AR | Eco</t>
  </si>
  <si>
    <t xml:space="preserve">AWP | Worm God</t>
  </si>
  <si>
    <t xml:space="preserve">CZ75-Auto | Pole Position</t>
  </si>
  <si>
    <t xml:space="preserve">MAG-7 | Heat</t>
  </si>
  <si>
    <t xml:space="preserve">UMP-45 | Grand Prix</t>
  </si>
  <si>
    <t xml:space="preserve">Dual Berettas | Capper</t>
  </si>
  <si>
    <t xml:space="preserve">MP7 | Impire</t>
  </si>
  <si>
    <t xml:space="preserve">Nova | Ranger</t>
  </si>
  <si>
    <t xml:space="preserve">P250 | Muertos</t>
  </si>
  <si>
    <t xml:space="preserve">Tec-9 | Isaac</t>
  </si>
  <si>
    <t xml:space="preserve">CS2 Covert Trade-Up Inputs — 5 Covert skins → 1 Knife/Gloves</t>
  </si>
  <si>
    <t xml:space="preserve">Source: Retake Update Oct 23 2025 | Output pool = ALL knives/gloves (collection-independent) | Fill blue price cells from Steam Market</t>
  </si>
  <si>
    <t xml:space="preserve">case_source</t>
  </si>
  <si>
    <t xml:space="preserve">notes</t>
  </si>
  <si>
    <t xml:space="preserve">Wear-capped 0.70</t>
  </si>
  <si>
    <t xml:space="preserve">Fracture/Revolution</t>
  </si>
  <si>
    <t xml:space="preserve">Wear-capped 0.80, very liquid</t>
  </si>
  <si>
    <t xml:space="preserve">MP9 | Starlight Protector</t>
  </si>
  <si>
    <t xml:space="preserve">Wear-capped 0.80</t>
  </si>
  <si>
    <t xml:space="preserve">AK-47 | Nightwish</t>
  </si>
  <si>
    <t xml:space="preserve">Dreams &amp; Nightmares</t>
  </si>
  <si>
    <t xml:space="preserve">FAMAS | Bad Trip</t>
  </si>
  <si>
    <t xml:space="preserve">Fever Case</t>
  </si>
  <si>
    <t xml:space="preserve">Fever knives in output pool</t>
  </si>
  <si>
    <t xml:space="preserve">TOTAL INPUT COST (5 skins FT)</t>
  </si>
  <si>
    <t xml:space="preserve">Model Assumptions</t>
  </si>
  <si>
    <t xml:space="preserve">RARITY DROP PROBABILITIES</t>
  </si>
  <si>
    <t xml:space="preserve">Source: Valve/Perfect World 2017 disclosure, unchanged through CS2</t>
  </si>
  <si>
    <t xml:space="preserve">79.92%</t>
  </si>
  <si>
    <t xml:space="preserve">15.98%</t>
  </si>
  <si>
    <t xml:space="preserve">3.20%</t>
  </si>
  <si>
    <t xml:space="preserve">0.64%</t>
  </si>
  <si>
    <t xml:space="preserve">0.26%</t>
  </si>
  <si>
    <t xml:space="preserve">WEAR WEIGHTS (conservative — FN+FT+BS only)</t>
  </si>
  <si>
    <t xml:space="preserve">Remaining ~45% = MW+WW, excluded for conservative EV</t>
  </si>
  <si>
    <t xml:space="preserve">Factory New (FN)</t>
  </si>
  <si>
    <t xml:space="preserve">3%</t>
  </si>
  <si>
    <t xml:space="preserve">Source: CSFloat empirical analysis</t>
  </si>
  <si>
    <t xml:space="preserve">Field-Tested (FT)</t>
  </si>
  <si>
    <t xml:space="preserve">35%</t>
  </si>
  <si>
    <t xml:space="preserve">Most liquid wear tier</t>
  </si>
  <si>
    <t xml:space="preserve">Battle-Scarred (BS)</t>
  </si>
  <si>
    <t xml:space="preserve">17%</t>
  </si>
  <si>
    <t xml:space="preserve">TRADE-UP</t>
  </si>
  <si>
    <t xml:space="preserve">Inputs required</t>
  </si>
  <si>
    <t xml:space="preserve">5</t>
  </si>
  <si>
    <t xml:space="preserve">Covert skins only (Retake update Oct 23 2025)</t>
  </si>
  <si>
    <t xml:space="preserve">Output pool</t>
  </si>
  <si>
    <t xml:space="preserve">All knives/gloves</t>
  </si>
  <si>
    <t xml:space="preserve">Collection-independent — flat pool across all containers</t>
  </si>
  <si>
    <t xml:space="preserve">Key cost</t>
  </si>
  <si>
    <t xml:space="preserve">$2.49</t>
  </si>
  <si>
    <t xml:space="preserve">Standard CS2 case key price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</si>
</sst>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8"/>
    <col collapsed="false" customWidth="true" hidden="false" outlineLevel="0" max="12" min="9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s">
        <v>14</v>
      </c>
      <c r="B4" s="4" t="n">
        <v>2.49</v>
      </c>
      <c r="C4" s="5" t="s">
        <v>15</v>
      </c>
      <c r="D4" s="4" t="s">
        <v>16</v>
      </c>
      <c r="E4" s="4" t="n">
        <v>0.0032</v>
      </c>
      <c r="F4" s="4" t="n">
        <v>1</v>
      </c>
      <c r="G4" s="4" t="n">
        <v>1</v>
      </c>
      <c r="H4" s="4" t="n">
        <v>1</v>
      </c>
      <c r="I4" s="6"/>
      <c r="J4" s="6"/>
      <c r="K4" s="6"/>
      <c r="L4" s="7" t="n">
        <f aca="false">E4*(IF(F4=1,I4*0.03,0)+IF(G4=1,J4*0.35,0)+IF(H4=1,K4*0.17,0))</f>
        <v>0</v>
      </c>
    </row>
    <row r="5" customFormat="false" ht="15" hidden="false" customHeight="false" outlineLevel="0" collapsed="false">
      <c r="A5" s="8" t="s">
        <v>14</v>
      </c>
      <c r="B5" s="8" t="n">
        <v>2.49</v>
      </c>
      <c r="C5" s="9" t="s">
        <v>17</v>
      </c>
      <c r="D5" s="8" t="s">
        <v>16</v>
      </c>
      <c r="E5" s="8" t="n">
        <v>0.0032</v>
      </c>
      <c r="F5" s="8" t="n">
        <v>1</v>
      </c>
      <c r="G5" s="8" t="n">
        <v>1</v>
      </c>
      <c r="H5" s="8" t="n">
        <v>1</v>
      </c>
      <c r="I5" s="6"/>
      <c r="J5" s="6"/>
      <c r="K5" s="6"/>
      <c r="L5" s="10" t="n">
        <f aca="false">E5*(IF(F5=1,I5*0.03,0)+IF(G5=1,J5*0.35,0)+IF(H5=1,K5*0.17,0))</f>
        <v>0</v>
      </c>
    </row>
    <row r="6" customFormat="false" ht="15" hidden="false" customHeight="false" outlineLevel="0" collapsed="false">
      <c r="A6" s="4" t="s">
        <v>14</v>
      </c>
      <c r="B6" s="4" t="n">
        <v>2.49</v>
      </c>
      <c r="C6" s="5" t="s">
        <v>18</v>
      </c>
      <c r="D6" s="4" t="s">
        <v>19</v>
      </c>
      <c r="E6" s="4" t="n">
        <v>0.010667</v>
      </c>
      <c r="F6" s="4" t="n">
        <v>1</v>
      </c>
      <c r="G6" s="4" t="n">
        <v>1</v>
      </c>
      <c r="H6" s="4" t="n">
        <v>1</v>
      </c>
      <c r="I6" s="6"/>
      <c r="J6" s="6"/>
      <c r="K6" s="6"/>
      <c r="L6" s="7" t="n">
        <f aca="false">E6*(IF(F6=1,I6*0.03,0)+IF(G6=1,J6*0.35,0)+IF(H6=1,K6*0.17,0))</f>
        <v>0</v>
      </c>
    </row>
    <row r="7" customFormat="false" ht="15" hidden="false" customHeight="false" outlineLevel="0" collapsed="false">
      <c r="A7" s="8" t="s">
        <v>14</v>
      </c>
      <c r="B7" s="8" t="n">
        <v>2.49</v>
      </c>
      <c r="C7" s="9" t="s">
        <v>20</v>
      </c>
      <c r="D7" s="8" t="s">
        <v>19</v>
      </c>
      <c r="E7" s="8" t="n">
        <v>0.010667</v>
      </c>
      <c r="F7" s="8" t="n">
        <v>1</v>
      </c>
      <c r="G7" s="8" t="n">
        <v>1</v>
      </c>
      <c r="H7" s="8" t="n">
        <v>1</v>
      </c>
      <c r="I7" s="6"/>
      <c r="J7" s="6"/>
      <c r="K7" s="6"/>
      <c r="L7" s="10" t="n">
        <f aca="false">E7*(IF(F7=1,I7*0.03,0)+IF(G7=1,J7*0.35,0)+IF(H7=1,K7*0.17,0))</f>
        <v>0</v>
      </c>
    </row>
    <row r="8" customFormat="false" ht="15" hidden="false" customHeight="false" outlineLevel="0" collapsed="false">
      <c r="A8" s="4" t="s">
        <v>14</v>
      </c>
      <c r="B8" s="4" t="n">
        <v>2.49</v>
      </c>
      <c r="C8" s="5" t="s">
        <v>21</v>
      </c>
      <c r="D8" s="4" t="s">
        <v>19</v>
      </c>
      <c r="E8" s="4" t="n">
        <v>0.010667</v>
      </c>
      <c r="F8" s="4" t="n">
        <v>1</v>
      </c>
      <c r="G8" s="4" t="n">
        <v>1</v>
      </c>
      <c r="H8" s="4" t="n">
        <v>1</v>
      </c>
      <c r="I8" s="6"/>
      <c r="J8" s="6"/>
      <c r="K8" s="6"/>
      <c r="L8" s="7" t="n">
        <f aca="false">E8*(IF(F8=1,I8*0.03,0)+IF(G8=1,J8*0.35,0)+IF(H8=1,K8*0.17,0))</f>
        <v>0</v>
      </c>
    </row>
    <row r="9" customFormat="false" ht="15" hidden="false" customHeight="false" outlineLevel="0" collapsed="false">
      <c r="A9" s="8" t="s">
        <v>14</v>
      </c>
      <c r="B9" s="8" t="n">
        <v>2.49</v>
      </c>
      <c r="C9" s="9" t="s">
        <v>22</v>
      </c>
      <c r="D9" s="8" t="s">
        <v>23</v>
      </c>
      <c r="E9" s="8" t="n">
        <v>0.03196</v>
      </c>
      <c r="F9" s="8" t="n">
        <v>1</v>
      </c>
      <c r="G9" s="8" t="n">
        <v>1</v>
      </c>
      <c r="H9" s="8" t="n">
        <v>1</v>
      </c>
      <c r="I9" s="6"/>
      <c r="J9" s="6"/>
      <c r="K9" s="6"/>
      <c r="L9" s="10" t="n">
        <f aca="false">E9*(IF(F9=1,I9*0.03,0)+IF(G9=1,J9*0.35,0)+IF(H9=1,K9*0.17,0))</f>
        <v>0</v>
      </c>
    </row>
    <row r="10" customFormat="false" ht="15" hidden="false" customHeight="false" outlineLevel="0" collapsed="false">
      <c r="A10" s="4" t="s">
        <v>14</v>
      </c>
      <c r="B10" s="4" t="n">
        <v>2.49</v>
      </c>
      <c r="C10" s="5" t="s">
        <v>24</v>
      </c>
      <c r="D10" s="4" t="s">
        <v>23</v>
      </c>
      <c r="E10" s="4" t="n">
        <v>0.03196</v>
      </c>
      <c r="F10" s="4" t="n">
        <v>1</v>
      </c>
      <c r="G10" s="4" t="n">
        <v>1</v>
      </c>
      <c r="H10" s="4" t="n">
        <v>1</v>
      </c>
      <c r="I10" s="6"/>
      <c r="J10" s="6"/>
      <c r="K10" s="6"/>
      <c r="L10" s="7" t="n">
        <f aca="false">E10*(IF(F10=1,I10*0.03,0)+IF(G10=1,J10*0.35,0)+IF(H10=1,K10*0.17,0))</f>
        <v>0</v>
      </c>
    </row>
    <row r="11" customFormat="false" ht="15" hidden="false" customHeight="false" outlineLevel="0" collapsed="false">
      <c r="A11" s="8" t="s">
        <v>14</v>
      </c>
      <c r="B11" s="8" t="n">
        <v>2.49</v>
      </c>
      <c r="C11" s="9" t="s">
        <v>25</v>
      </c>
      <c r="D11" s="8" t="s">
        <v>23</v>
      </c>
      <c r="E11" s="8" t="n">
        <v>0.03196</v>
      </c>
      <c r="F11" s="8" t="n">
        <v>1</v>
      </c>
      <c r="G11" s="8" t="n">
        <v>1</v>
      </c>
      <c r="H11" s="8" t="n">
        <v>1</v>
      </c>
      <c r="I11" s="6"/>
      <c r="J11" s="6"/>
      <c r="K11" s="6"/>
      <c r="L11" s="10" t="n">
        <f aca="false">E11*(IF(F11=1,I11*0.03,0)+IF(G11=1,J11*0.35,0)+IF(H11=1,K11*0.17,0))</f>
        <v>0</v>
      </c>
    </row>
    <row r="12" customFormat="false" ht="15" hidden="false" customHeight="false" outlineLevel="0" collapsed="false">
      <c r="A12" s="4" t="s">
        <v>14</v>
      </c>
      <c r="B12" s="4" t="n">
        <v>2.49</v>
      </c>
      <c r="C12" s="5" t="s">
        <v>26</v>
      </c>
      <c r="D12" s="4" t="s">
        <v>23</v>
      </c>
      <c r="E12" s="4" t="n">
        <v>0.03196</v>
      </c>
      <c r="F12" s="4" t="n">
        <v>1</v>
      </c>
      <c r="G12" s="4" t="n">
        <v>1</v>
      </c>
      <c r="H12" s="4" t="n">
        <v>1</v>
      </c>
      <c r="I12" s="6"/>
      <c r="J12" s="6"/>
      <c r="K12" s="6"/>
      <c r="L12" s="7" t="n">
        <f aca="false">E12*(IF(F12=1,I12*0.03,0)+IF(G12=1,J12*0.35,0)+IF(H12=1,K12*0.17,0))</f>
        <v>0</v>
      </c>
    </row>
    <row r="13" customFormat="false" ht="15" hidden="false" customHeight="false" outlineLevel="0" collapsed="false">
      <c r="A13" s="8" t="s">
        <v>14</v>
      </c>
      <c r="B13" s="8" t="n">
        <v>2.49</v>
      </c>
      <c r="C13" s="9" t="s">
        <v>27</v>
      </c>
      <c r="D13" s="8" t="s">
        <v>23</v>
      </c>
      <c r="E13" s="8" t="n">
        <v>0.03196</v>
      </c>
      <c r="F13" s="8" t="n">
        <v>1</v>
      </c>
      <c r="G13" s="8" t="n">
        <v>1</v>
      </c>
      <c r="H13" s="8" t="n">
        <v>1</v>
      </c>
      <c r="I13" s="6"/>
      <c r="J13" s="6"/>
      <c r="K13" s="6"/>
      <c r="L13" s="10" t="n">
        <f aca="false">E13*(IF(F13=1,I13*0.03,0)+IF(G13=1,J13*0.35,0)+IF(H13=1,K13*0.17,0))</f>
        <v>0</v>
      </c>
    </row>
    <row r="14" customFormat="false" ht="15" hidden="false" customHeight="false" outlineLevel="0" collapsed="false">
      <c r="A14" s="4" t="s">
        <v>14</v>
      </c>
      <c r="B14" s="4" t="n">
        <v>2.49</v>
      </c>
      <c r="C14" s="5" t="s">
        <v>28</v>
      </c>
      <c r="D14" s="4" t="s">
        <v>29</v>
      </c>
      <c r="E14" s="4" t="n">
        <v>0.114171</v>
      </c>
      <c r="F14" s="4" t="n">
        <v>1</v>
      </c>
      <c r="G14" s="4" t="n">
        <v>1</v>
      </c>
      <c r="H14" s="4" t="n">
        <v>1</v>
      </c>
      <c r="I14" s="6"/>
      <c r="J14" s="6"/>
      <c r="K14" s="6"/>
      <c r="L14" s="7" t="n">
        <f aca="false">E14*(IF(F14=1,I14*0.03,0)+IF(G14=1,J14*0.35,0)+IF(H14=1,K14*0.17,0))</f>
        <v>0</v>
      </c>
    </row>
    <row r="15" customFormat="false" ht="15" hidden="false" customHeight="false" outlineLevel="0" collapsed="false">
      <c r="A15" s="8" t="s">
        <v>14</v>
      </c>
      <c r="B15" s="8" t="n">
        <v>2.49</v>
      </c>
      <c r="C15" s="9" t="s">
        <v>30</v>
      </c>
      <c r="D15" s="8" t="s">
        <v>29</v>
      </c>
      <c r="E15" s="8" t="n">
        <v>0.114171</v>
      </c>
      <c r="F15" s="8" t="n">
        <v>1</v>
      </c>
      <c r="G15" s="8" t="n">
        <v>1</v>
      </c>
      <c r="H15" s="8" t="n">
        <v>1</v>
      </c>
      <c r="I15" s="6"/>
      <c r="J15" s="6"/>
      <c r="K15" s="6"/>
      <c r="L15" s="10" t="n">
        <f aca="false">E15*(IF(F15=1,I15*0.03,0)+IF(G15=1,J15*0.35,0)+IF(H15=1,K15*0.17,0))</f>
        <v>0</v>
      </c>
    </row>
    <row r="16" customFormat="false" ht="15" hidden="false" customHeight="false" outlineLevel="0" collapsed="false">
      <c r="A16" s="4" t="s">
        <v>14</v>
      </c>
      <c r="B16" s="4" t="n">
        <v>2.49</v>
      </c>
      <c r="C16" s="5" t="s">
        <v>31</v>
      </c>
      <c r="D16" s="4" t="s">
        <v>29</v>
      </c>
      <c r="E16" s="4" t="n">
        <v>0.114171</v>
      </c>
      <c r="F16" s="4" t="n">
        <v>1</v>
      </c>
      <c r="G16" s="4" t="n">
        <v>1</v>
      </c>
      <c r="H16" s="4" t="n">
        <v>1</v>
      </c>
      <c r="I16" s="6"/>
      <c r="J16" s="6"/>
      <c r="K16" s="6"/>
      <c r="L16" s="7" t="n">
        <f aca="false">E16*(IF(F16=1,I16*0.03,0)+IF(G16=1,J16*0.35,0)+IF(H16=1,K16*0.17,0))</f>
        <v>0</v>
      </c>
    </row>
    <row r="17" customFormat="false" ht="15" hidden="false" customHeight="false" outlineLevel="0" collapsed="false">
      <c r="A17" s="8" t="s">
        <v>14</v>
      </c>
      <c r="B17" s="8" t="n">
        <v>2.49</v>
      </c>
      <c r="C17" s="9" t="s">
        <v>32</v>
      </c>
      <c r="D17" s="8" t="s">
        <v>29</v>
      </c>
      <c r="E17" s="8" t="n">
        <v>0.114171</v>
      </c>
      <c r="F17" s="8" t="n">
        <v>1</v>
      </c>
      <c r="G17" s="8" t="n">
        <v>1</v>
      </c>
      <c r="H17" s="8" t="n">
        <v>1</v>
      </c>
      <c r="I17" s="6"/>
      <c r="J17" s="6"/>
      <c r="K17" s="6"/>
      <c r="L17" s="10" t="n">
        <f aca="false">E17*(IF(F17=1,I17*0.03,0)+IF(G17=1,J17*0.35,0)+IF(H17=1,K17*0.17,0))</f>
        <v>0</v>
      </c>
    </row>
    <row r="18" customFormat="false" ht="15" hidden="false" customHeight="false" outlineLevel="0" collapsed="false">
      <c r="A18" s="4" t="s">
        <v>14</v>
      </c>
      <c r="B18" s="4" t="n">
        <v>2.49</v>
      </c>
      <c r="C18" s="5" t="s">
        <v>33</v>
      </c>
      <c r="D18" s="4" t="s">
        <v>29</v>
      </c>
      <c r="E18" s="4" t="n">
        <v>0.114171</v>
      </c>
      <c r="F18" s="4" t="n">
        <v>1</v>
      </c>
      <c r="G18" s="4" t="n">
        <v>1</v>
      </c>
      <c r="H18" s="4" t="n">
        <v>1</v>
      </c>
      <c r="I18" s="6"/>
      <c r="J18" s="6"/>
      <c r="K18" s="6"/>
      <c r="L18" s="7" t="n">
        <f aca="false">E18*(IF(F18=1,I18*0.03,0)+IF(G18=1,J18*0.35,0)+IF(H18=1,K18*0.17,0))</f>
        <v>0</v>
      </c>
    </row>
    <row r="19" customFormat="false" ht="15" hidden="false" customHeight="false" outlineLevel="0" collapsed="false">
      <c r="A19" s="8" t="s">
        <v>14</v>
      </c>
      <c r="B19" s="8" t="n">
        <v>2.49</v>
      </c>
      <c r="C19" s="9" t="s">
        <v>34</v>
      </c>
      <c r="D19" s="8" t="s">
        <v>29</v>
      </c>
      <c r="E19" s="8" t="n">
        <v>0.114171</v>
      </c>
      <c r="F19" s="8" t="n">
        <v>1</v>
      </c>
      <c r="G19" s="8" t="n">
        <v>1</v>
      </c>
      <c r="H19" s="8" t="n">
        <v>1</v>
      </c>
      <c r="I19" s="6"/>
      <c r="J19" s="6"/>
      <c r="K19" s="6"/>
      <c r="L19" s="10" t="n">
        <f aca="false">E19*(IF(F19=1,I19*0.03,0)+IF(G19=1,J19*0.35,0)+IF(H19=1,K19*0.17,0))</f>
        <v>0</v>
      </c>
    </row>
    <row r="20" customFormat="false" ht="15" hidden="false" customHeight="false" outlineLevel="0" collapsed="false">
      <c r="A20" s="4" t="s">
        <v>14</v>
      </c>
      <c r="B20" s="4" t="n">
        <v>2.49</v>
      </c>
      <c r="C20" s="5" t="s">
        <v>35</v>
      </c>
      <c r="D20" s="4" t="s">
        <v>29</v>
      </c>
      <c r="E20" s="4" t="n">
        <v>0.114171</v>
      </c>
      <c r="F20" s="4" t="n">
        <v>1</v>
      </c>
      <c r="G20" s="4" t="n">
        <v>1</v>
      </c>
      <c r="H20" s="4" t="n">
        <v>1</v>
      </c>
      <c r="I20" s="6"/>
      <c r="J20" s="6"/>
      <c r="K20" s="6"/>
      <c r="L20" s="7" t="n">
        <f aca="false">E20*(IF(F20=1,I20*0.03,0)+IF(G20=1,J20*0.35,0)+IF(H20=1,K20*0.17,0))</f>
        <v>0</v>
      </c>
    </row>
    <row r="21" customFormat="false" ht="15" hidden="false" customHeight="false" outlineLevel="0" collapsed="false">
      <c r="A21" s="8" t="s">
        <v>14</v>
      </c>
      <c r="B21" s="8" t="n">
        <v>2.49</v>
      </c>
      <c r="C21" s="9" t="s">
        <v>36</v>
      </c>
      <c r="D21" s="8" t="s">
        <v>37</v>
      </c>
      <c r="E21" s="8" t="n">
        <v>0.0026</v>
      </c>
      <c r="F21" s="8" t="n">
        <v>1</v>
      </c>
      <c r="G21" s="8" t="n">
        <v>1</v>
      </c>
      <c r="H21" s="8" t="n">
        <v>1</v>
      </c>
      <c r="I21" s="6"/>
      <c r="J21" s="6"/>
      <c r="K21" s="6"/>
      <c r="L21" s="10" t="n">
        <f aca="false">E21*(IF(F21=1,I21*0.03,0)+IF(G21=1,J21*0.35,0)+IF(H21=1,K21*0.17,0))</f>
        <v>0</v>
      </c>
    </row>
    <row r="22" customFormat="false" ht="15" hidden="false" customHeight="false" outlineLevel="0" collapsed="false">
      <c r="A22" s="4" t="s">
        <v>38</v>
      </c>
      <c r="B22" s="4" t="n">
        <v>2.49</v>
      </c>
      <c r="C22" s="5" t="s">
        <v>39</v>
      </c>
      <c r="D22" s="4" t="s">
        <v>16</v>
      </c>
      <c r="E22" s="4" t="n">
        <v>0.0032</v>
      </c>
      <c r="F22" s="4" t="n">
        <v>1</v>
      </c>
      <c r="G22" s="4" t="n">
        <v>1</v>
      </c>
      <c r="H22" s="4" t="n">
        <v>1</v>
      </c>
      <c r="I22" s="6"/>
      <c r="J22" s="6"/>
      <c r="K22" s="6"/>
      <c r="L22" s="7" t="n">
        <f aca="false">E22*(IF(F22=1,I22*0.03,0)+IF(G22=1,J22*0.35,0)+IF(H22=1,K22*0.17,0))</f>
        <v>0</v>
      </c>
    </row>
    <row r="23" customFormat="false" ht="15" hidden="false" customHeight="false" outlineLevel="0" collapsed="false">
      <c r="A23" s="8" t="s">
        <v>38</v>
      </c>
      <c r="B23" s="8" t="n">
        <v>2.49</v>
      </c>
      <c r="C23" s="9" t="s">
        <v>40</v>
      </c>
      <c r="D23" s="8" t="s">
        <v>16</v>
      </c>
      <c r="E23" s="8" t="n">
        <v>0.0032</v>
      </c>
      <c r="F23" s="8" t="n">
        <v>1</v>
      </c>
      <c r="G23" s="8" t="n">
        <v>1</v>
      </c>
      <c r="H23" s="8" t="n">
        <v>1</v>
      </c>
      <c r="I23" s="6"/>
      <c r="J23" s="6"/>
      <c r="K23" s="6"/>
      <c r="L23" s="10" t="n">
        <f aca="false">E23*(IF(F23=1,I23*0.03,0)+IF(G23=1,J23*0.35,0)+IF(H23=1,K23*0.17,0))</f>
        <v>0</v>
      </c>
    </row>
    <row r="24" customFormat="false" ht="15" hidden="false" customHeight="false" outlineLevel="0" collapsed="false">
      <c r="A24" s="4" t="s">
        <v>38</v>
      </c>
      <c r="B24" s="4" t="n">
        <v>2.49</v>
      </c>
      <c r="C24" s="5" t="s">
        <v>41</v>
      </c>
      <c r="D24" s="4" t="s">
        <v>19</v>
      </c>
      <c r="E24" s="4" t="n">
        <v>0.010667</v>
      </c>
      <c r="F24" s="4" t="n">
        <v>1</v>
      </c>
      <c r="G24" s="4" t="n">
        <v>1</v>
      </c>
      <c r="H24" s="4" t="n">
        <v>1</v>
      </c>
      <c r="I24" s="6"/>
      <c r="J24" s="6"/>
      <c r="K24" s="6"/>
      <c r="L24" s="7" t="n">
        <f aca="false">E24*(IF(F24=1,I24*0.03,0)+IF(G24=1,J24*0.35,0)+IF(H24=1,K24*0.17,0))</f>
        <v>0</v>
      </c>
    </row>
    <row r="25" customFormat="false" ht="15" hidden="false" customHeight="false" outlineLevel="0" collapsed="false">
      <c r="A25" s="8" t="s">
        <v>38</v>
      </c>
      <c r="B25" s="8" t="n">
        <v>2.49</v>
      </c>
      <c r="C25" s="9" t="s">
        <v>42</v>
      </c>
      <c r="D25" s="8" t="s">
        <v>19</v>
      </c>
      <c r="E25" s="8" t="n">
        <v>0.010667</v>
      </c>
      <c r="F25" s="8" t="n">
        <v>1</v>
      </c>
      <c r="G25" s="8" t="n">
        <v>1</v>
      </c>
      <c r="H25" s="8" t="n">
        <v>1</v>
      </c>
      <c r="I25" s="6"/>
      <c r="J25" s="6"/>
      <c r="K25" s="6"/>
      <c r="L25" s="10" t="n">
        <f aca="false">E25*(IF(F25=1,I25*0.03,0)+IF(G25=1,J25*0.35,0)+IF(H25=1,K25*0.17,0))</f>
        <v>0</v>
      </c>
    </row>
    <row r="26" customFormat="false" ht="15" hidden="false" customHeight="false" outlineLevel="0" collapsed="false">
      <c r="A26" s="4" t="s">
        <v>38</v>
      </c>
      <c r="B26" s="4" t="n">
        <v>2.49</v>
      </c>
      <c r="C26" s="5" t="s">
        <v>43</v>
      </c>
      <c r="D26" s="4" t="s">
        <v>19</v>
      </c>
      <c r="E26" s="4" t="n">
        <v>0.010667</v>
      </c>
      <c r="F26" s="4" t="n">
        <v>1</v>
      </c>
      <c r="G26" s="4" t="n">
        <v>1</v>
      </c>
      <c r="H26" s="4" t="n">
        <v>1</v>
      </c>
      <c r="I26" s="6"/>
      <c r="J26" s="6"/>
      <c r="K26" s="6"/>
      <c r="L26" s="7" t="n">
        <f aca="false">E26*(IF(F26=1,I26*0.03,0)+IF(G26=1,J26*0.35,0)+IF(H26=1,K26*0.17,0))</f>
        <v>0</v>
      </c>
    </row>
    <row r="27" customFormat="false" ht="15" hidden="false" customHeight="false" outlineLevel="0" collapsed="false">
      <c r="A27" s="8" t="s">
        <v>38</v>
      </c>
      <c r="B27" s="8" t="n">
        <v>2.49</v>
      </c>
      <c r="C27" s="9" t="s">
        <v>44</v>
      </c>
      <c r="D27" s="8" t="s">
        <v>23</v>
      </c>
      <c r="E27" s="8" t="n">
        <v>0.03196</v>
      </c>
      <c r="F27" s="8" t="n">
        <v>1</v>
      </c>
      <c r="G27" s="8" t="n">
        <v>1</v>
      </c>
      <c r="H27" s="8" t="n">
        <v>1</v>
      </c>
      <c r="I27" s="6"/>
      <c r="J27" s="6"/>
      <c r="K27" s="6"/>
      <c r="L27" s="10" t="n">
        <f aca="false">E27*(IF(F27=1,I27*0.03,0)+IF(G27=1,J27*0.35,0)+IF(H27=1,K27*0.17,0))</f>
        <v>0</v>
      </c>
    </row>
    <row r="28" customFormat="false" ht="15" hidden="false" customHeight="false" outlineLevel="0" collapsed="false">
      <c r="A28" s="4" t="s">
        <v>38</v>
      </c>
      <c r="B28" s="4" t="n">
        <v>2.49</v>
      </c>
      <c r="C28" s="5" t="s">
        <v>45</v>
      </c>
      <c r="D28" s="4" t="s">
        <v>23</v>
      </c>
      <c r="E28" s="4" t="n">
        <v>0.03196</v>
      </c>
      <c r="F28" s="4" t="n">
        <v>1</v>
      </c>
      <c r="G28" s="4" t="n">
        <v>1</v>
      </c>
      <c r="H28" s="4" t="n">
        <v>1</v>
      </c>
      <c r="I28" s="6"/>
      <c r="J28" s="6"/>
      <c r="K28" s="6"/>
      <c r="L28" s="7" t="n">
        <f aca="false">E28*(IF(F28=1,I28*0.03,0)+IF(G28=1,J28*0.35,0)+IF(H28=1,K28*0.17,0))</f>
        <v>0</v>
      </c>
    </row>
    <row r="29" customFormat="false" ht="15" hidden="false" customHeight="false" outlineLevel="0" collapsed="false">
      <c r="A29" s="8" t="s">
        <v>38</v>
      </c>
      <c r="B29" s="8" t="n">
        <v>2.49</v>
      </c>
      <c r="C29" s="9" t="s">
        <v>46</v>
      </c>
      <c r="D29" s="8" t="s">
        <v>23</v>
      </c>
      <c r="E29" s="8" t="n">
        <v>0.03196</v>
      </c>
      <c r="F29" s="8" t="n">
        <v>1</v>
      </c>
      <c r="G29" s="8" t="n">
        <v>1</v>
      </c>
      <c r="H29" s="8" t="n">
        <v>1</v>
      </c>
      <c r="I29" s="6"/>
      <c r="J29" s="6"/>
      <c r="K29" s="6"/>
      <c r="L29" s="10" t="n">
        <f aca="false">E29*(IF(F29=1,I29*0.03,0)+IF(G29=1,J29*0.35,0)+IF(H29=1,K29*0.17,0))</f>
        <v>0</v>
      </c>
    </row>
    <row r="30" customFormat="false" ht="15" hidden="false" customHeight="false" outlineLevel="0" collapsed="false">
      <c r="A30" s="4" t="s">
        <v>38</v>
      </c>
      <c r="B30" s="4" t="n">
        <v>2.49</v>
      </c>
      <c r="C30" s="5" t="s">
        <v>47</v>
      </c>
      <c r="D30" s="4" t="s">
        <v>23</v>
      </c>
      <c r="E30" s="4" t="n">
        <v>0.03196</v>
      </c>
      <c r="F30" s="4" t="n">
        <v>1</v>
      </c>
      <c r="G30" s="4" t="n">
        <v>1</v>
      </c>
      <c r="H30" s="4" t="n">
        <v>1</v>
      </c>
      <c r="I30" s="6"/>
      <c r="J30" s="6"/>
      <c r="K30" s="6"/>
      <c r="L30" s="7" t="n">
        <f aca="false">E30*(IF(F30=1,I30*0.03,0)+IF(G30=1,J30*0.35,0)+IF(H30=1,K30*0.17,0))</f>
        <v>0</v>
      </c>
    </row>
    <row r="31" customFormat="false" ht="15" hidden="false" customHeight="false" outlineLevel="0" collapsed="false">
      <c r="A31" s="8" t="s">
        <v>38</v>
      </c>
      <c r="B31" s="8" t="n">
        <v>2.49</v>
      </c>
      <c r="C31" s="9" t="s">
        <v>48</v>
      </c>
      <c r="D31" s="8" t="s">
        <v>23</v>
      </c>
      <c r="E31" s="8" t="n">
        <v>0.03196</v>
      </c>
      <c r="F31" s="8" t="n">
        <v>1</v>
      </c>
      <c r="G31" s="8" t="n">
        <v>1</v>
      </c>
      <c r="H31" s="8" t="n">
        <v>0</v>
      </c>
      <c r="I31" s="6"/>
      <c r="J31" s="6"/>
      <c r="K31" s="6"/>
      <c r="L31" s="10" t="n">
        <f aca="false">E31*(IF(F31=1,I31*0.03,0)+IF(G31=1,J31*0.35,0)+IF(H31=1,K31*0.17,0))</f>
        <v>0</v>
      </c>
    </row>
    <row r="32" customFormat="false" ht="15" hidden="false" customHeight="false" outlineLevel="0" collapsed="false">
      <c r="A32" s="4" t="s">
        <v>38</v>
      </c>
      <c r="B32" s="4" t="n">
        <v>2.49</v>
      </c>
      <c r="C32" s="5" t="s">
        <v>49</v>
      </c>
      <c r="D32" s="4" t="s">
        <v>29</v>
      </c>
      <c r="E32" s="4" t="n">
        <v>0.114171</v>
      </c>
      <c r="F32" s="4" t="n">
        <v>1</v>
      </c>
      <c r="G32" s="4" t="n">
        <v>1</v>
      </c>
      <c r="H32" s="4" t="n">
        <v>1</v>
      </c>
      <c r="I32" s="6"/>
      <c r="J32" s="6"/>
      <c r="K32" s="6"/>
      <c r="L32" s="7" t="n">
        <f aca="false">E32*(IF(F32=1,I32*0.03,0)+IF(G32=1,J32*0.35,0)+IF(H32=1,K32*0.17,0))</f>
        <v>0</v>
      </c>
    </row>
    <row r="33" customFormat="false" ht="15" hidden="false" customHeight="false" outlineLevel="0" collapsed="false">
      <c r="A33" s="8" t="s">
        <v>38</v>
      </c>
      <c r="B33" s="8" t="n">
        <v>2.49</v>
      </c>
      <c r="C33" s="9" t="s">
        <v>50</v>
      </c>
      <c r="D33" s="8" t="s">
        <v>29</v>
      </c>
      <c r="E33" s="8" t="n">
        <v>0.114171</v>
      </c>
      <c r="F33" s="8" t="n">
        <v>1</v>
      </c>
      <c r="G33" s="8" t="n">
        <v>1</v>
      </c>
      <c r="H33" s="8" t="n">
        <v>1</v>
      </c>
      <c r="I33" s="6"/>
      <c r="J33" s="6"/>
      <c r="K33" s="6"/>
      <c r="L33" s="10" t="n">
        <f aca="false">E33*(IF(F33=1,I33*0.03,0)+IF(G33=1,J33*0.35,0)+IF(H33=1,K33*0.17,0))</f>
        <v>0</v>
      </c>
    </row>
    <row r="34" customFormat="false" ht="15" hidden="false" customHeight="false" outlineLevel="0" collapsed="false">
      <c r="A34" s="4" t="s">
        <v>38</v>
      </c>
      <c r="B34" s="4" t="n">
        <v>2.49</v>
      </c>
      <c r="C34" s="5" t="s">
        <v>51</v>
      </c>
      <c r="D34" s="4" t="s">
        <v>29</v>
      </c>
      <c r="E34" s="4" t="n">
        <v>0.114171</v>
      </c>
      <c r="F34" s="4" t="n">
        <v>1</v>
      </c>
      <c r="G34" s="4" t="n">
        <v>1</v>
      </c>
      <c r="H34" s="4" t="n">
        <v>1</v>
      </c>
      <c r="I34" s="6"/>
      <c r="J34" s="6"/>
      <c r="K34" s="6"/>
      <c r="L34" s="7" t="n">
        <f aca="false">E34*(IF(F34=1,I34*0.03,0)+IF(G34=1,J34*0.35,0)+IF(H34=1,K34*0.17,0))</f>
        <v>0</v>
      </c>
    </row>
    <row r="35" customFormat="false" ht="15" hidden="false" customHeight="false" outlineLevel="0" collapsed="false">
      <c r="A35" s="8" t="s">
        <v>38</v>
      </c>
      <c r="B35" s="8" t="n">
        <v>2.49</v>
      </c>
      <c r="C35" s="9" t="s">
        <v>52</v>
      </c>
      <c r="D35" s="8" t="s">
        <v>29</v>
      </c>
      <c r="E35" s="8" t="n">
        <v>0.114171</v>
      </c>
      <c r="F35" s="8" t="n">
        <v>1</v>
      </c>
      <c r="G35" s="8" t="n">
        <v>1</v>
      </c>
      <c r="H35" s="8" t="n">
        <v>1</v>
      </c>
      <c r="I35" s="6"/>
      <c r="J35" s="6"/>
      <c r="K35" s="6"/>
      <c r="L35" s="10" t="n">
        <f aca="false">E35*(IF(F35=1,I35*0.03,0)+IF(G35=1,J35*0.35,0)+IF(H35=1,K35*0.17,0))</f>
        <v>0</v>
      </c>
    </row>
    <row r="36" customFormat="false" ht="15" hidden="false" customHeight="false" outlineLevel="0" collapsed="false">
      <c r="A36" s="4" t="s">
        <v>38</v>
      </c>
      <c r="B36" s="4" t="n">
        <v>2.49</v>
      </c>
      <c r="C36" s="5" t="s">
        <v>53</v>
      </c>
      <c r="D36" s="4" t="s">
        <v>29</v>
      </c>
      <c r="E36" s="4" t="n">
        <v>0.114171</v>
      </c>
      <c r="F36" s="4" t="n">
        <v>1</v>
      </c>
      <c r="G36" s="4" t="n">
        <v>1</v>
      </c>
      <c r="H36" s="4" t="n">
        <v>1</v>
      </c>
      <c r="I36" s="6"/>
      <c r="J36" s="6"/>
      <c r="K36" s="6"/>
      <c r="L36" s="7" t="n">
        <f aca="false">E36*(IF(F36=1,I36*0.03,0)+IF(G36=1,J36*0.35,0)+IF(H36=1,K36*0.17,0))</f>
        <v>0</v>
      </c>
    </row>
    <row r="37" customFormat="false" ht="15" hidden="false" customHeight="false" outlineLevel="0" collapsed="false">
      <c r="A37" s="8" t="s">
        <v>38</v>
      </c>
      <c r="B37" s="8" t="n">
        <v>2.49</v>
      </c>
      <c r="C37" s="9" t="s">
        <v>54</v>
      </c>
      <c r="D37" s="8" t="s">
        <v>29</v>
      </c>
      <c r="E37" s="8" t="n">
        <v>0.114171</v>
      </c>
      <c r="F37" s="8" t="n">
        <v>1</v>
      </c>
      <c r="G37" s="8" t="n">
        <v>1</v>
      </c>
      <c r="H37" s="8" t="n">
        <v>1</v>
      </c>
      <c r="I37" s="6"/>
      <c r="J37" s="6"/>
      <c r="K37" s="6"/>
      <c r="L37" s="10" t="n">
        <f aca="false">E37*(IF(F37=1,I37*0.03,0)+IF(G37=1,J37*0.35,0)+IF(H37=1,K37*0.17,0))</f>
        <v>0</v>
      </c>
    </row>
    <row r="38" customFormat="false" ht="15" hidden="false" customHeight="false" outlineLevel="0" collapsed="false">
      <c r="A38" s="4" t="s">
        <v>38</v>
      </c>
      <c r="B38" s="4" t="n">
        <v>2.49</v>
      </c>
      <c r="C38" s="5" t="s">
        <v>55</v>
      </c>
      <c r="D38" s="4" t="s">
        <v>29</v>
      </c>
      <c r="E38" s="4" t="n">
        <v>0.114171</v>
      </c>
      <c r="F38" s="4" t="n">
        <v>1</v>
      </c>
      <c r="G38" s="4" t="n">
        <v>1</v>
      </c>
      <c r="H38" s="4" t="n">
        <v>1</v>
      </c>
      <c r="I38" s="6"/>
      <c r="J38" s="6"/>
      <c r="K38" s="6"/>
      <c r="L38" s="7" t="n">
        <f aca="false">E38*(IF(F38=1,I38*0.03,0)+IF(G38=1,J38*0.35,0)+IF(H38=1,K38*0.17,0))</f>
        <v>0</v>
      </c>
    </row>
    <row r="39" customFormat="false" ht="15" hidden="false" customHeight="false" outlineLevel="0" collapsed="false">
      <c r="A39" s="8" t="s">
        <v>38</v>
      </c>
      <c r="B39" s="8" t="n">
        <v>2.49</v>
      </c>
      <c r="C39" s="9" t="s">
        <v>56</v>
      </c>
      <c r="D39" s="8" t="s">
        <v>37</v>
      </c>
      <c r="E39" s="8" t="n">
        <v>0.0026</v>
      </c>
      <c r="F39" s="8" t="n">
        <v>1</v>
      </c>
      <c r="G39" s="8" t="n">
        <v>1</v>
      </c>
      <c r="H39" s="8" t="n">
        <v>1</v>
      </c>
      <c r="I39" s="6"/>
      <c r="J39" s="6"/>
      <c r="K39" s="6"/>
      <c r="L39" s="10" t="n">
        <f aca="false">E39*(IF(F39=1,I39*0.03,0)+IF(G39=1,J39*0.35,0)+IF(H39=1,K39*0.17,0))</f>
        <v>0</v>
      </c>
    </row>
    <row r="40" customFormat="false" ht="15" hidden="false" customHeight="false" outlineLevel="0" collapsed="false">
      <c r="A40" s="4" t="s">
        <v>57</v>
      </c>
      <c r="B40" s="4" t="n">
        <v>2.49</v>
      </c>
      <c r="C40" s="5" t="s">
        <v>58</v>
      </c>
      <c r="D40" s="4" t="s">
        <v>16</v>
      </c>
      <c r="E40" s="4" t="n">
        <v>0.0032</v>
      </c>
      <c r="F40" s="4" t="n">
        <v>1</v>
      </c>
      <c r="G40" s="4" t="n">
        <v>1</v>
      </c>
      <c r="H40" s="4" t="n">
        <v>0</v>
      </c>
      <c r="I40" s="6"/>
      <c r="J40" s="6"/>
      <c r="K40" s="6"/>
      <c r="L40" s="7" t="n">
        <f aca="false">E40*(IF(F40=1,I40*0.03,0)+IF(G40=1,J40*0.35,0)+IF(H40=1,K40*0.17,0))</f>
        <v>0</v>
      </c>
    </row>
    <row r="41" customFormat="false" ht="15" hidden="false" customHeight="false" outlineLevel="0" collapsed="false">
      <c r="A41" s="8" t="s">
        <v>57</v>
      </c>
      <c r="B41" s="8" t="n">
        <v>2.49</v>
      </c>
      <c r="C41" s="9" t="s">
        <v>59</v>
      </c>
      <c r="D41" s="8" t="s">
        <v>16</v>
      </c>
      <c r="E41" s="8" t="n">
        <v>0.0032</v>
      </c>
      <c r="F41" s="8" t="n">
        <v>1</v>
      </c>
      <c r="G41" s="8" t="n">
        <v>1</v>
      </c>
      <c r="H41" s="8" t="n">
        <v>0</v>
      </c>
      <c r="I41" s="6"/>
      <c r="J41" s="6"/>
      <c r="K41" s="6"/>
      <c r="L41" s="10" t="n">
        <f aca="false">E41*(IF(F41=1,I41*0.03,0)+IF(G41=1,J41*0.35,0)+IF(H41=1,K41*0.17,0))</f>
        <v>0</v>
      </c>
    </row>
    <row r="42" customFormat="false" ht="15" hidden="false" customHeight="false" outlineLevel="0" collapsed="false">
      <c r="A42" s="4" t="s">
        <v>57</v>
      </c>
      <c r="B42" s="4" t="n">
        <v>2.49</v>
      </c>
      <c r="C42" s="5" t="s">
        <v>60</v>
      </c>
      <c r="D42" s="4" t="s">
        <v>19</v>
      </c>
      <c r="E42" s="4" t="n">
        <v>0.010667</v>
      </c>
      <c r="F42" s="4" t="n">
        <v>1</v>
      </c>
      <c r="G42" s="4" t="n">
        <v>1</v>
      </c>
      <c r="H42" s="4" t="n">
        <v>1</v>
      </c>
      <c r="I42" s="6"/>
      <c r="J42" s="6"/>
      <c r="K42" s="6"/>
      <c r="L42" s="7" t="n">
        <f aca="false">E42*(IF(F42=1,I42*0.03,0)+IF(G42=1,J42*0.35,0)+IF(H42=1,K42*0.17,0))</f>
        <v>0</v>
      </c>
    </row>
    <row r="43" customFormat="false" ht="15" hidden="false" customHeight="false" outlineLevel="0" collapsed="false">
      <c r="A43" s="8" t="s">
        <v>57</v>
      </c>
      <c r="B43" s="8" t="n">
        <v>2.49</v>
      </c>
      <c r="C43" s="9" t="s">
        <v>61</v>
      </c>
      <c r="D43" s="8" t="s">
        <v>19</v>
      </c>
      <c r="E43" s="8" t="n">
        <v>0.010667</v>
      </c>
      <c r="F43" s="8" t="n">
        <v>1</v>
      </c>
      <c r="G43" s="8" t="n">
        <v>1</v>
      </c>
      <c r="H43" s="8" t="n">
        <v>1</v>
      </c>
      <c r="I43" s="6"/>
      <c r="J43" s="6"/>
      <c r="K43" s="6"/>
      <c r="L43" s="10" t="n">
        <f aca="false">E43*(IF(F43=1,I43*0.03,0)+IF(G43=1,J43*0.35,0)+IF(H43=1,K43*0.17,0))</f>
        <v>0</v>
      </c>
    </row>
    <row r="44" customFormat="false" ht="15" hidden="false" customHeight="false" outlineLevel="0" collapsed="false">
      <c r="A44" s="4" t="s">
        <v>57</v>
      </c>
      <c r="B44" s="4" t="n">
        <v>2.49</v>
      </c>
      <c r="C44" s="5" t="s">
        <v>62</v>
      </c>
      <c r="D44" s="4" t="s">
        <v>19</v>
      </c>
      <c r="E44" s="4" t="n">
        <v>0.010667</v>
      </c>
      <c r="F44" s="4" t="n">
        <v>1</v>
      </c>
      <c r="G44" s="4" t="n">
        <v>1</v>
      </c>
      <c r="H44" s="4" t="n">
        <v>1</v>
      </c>
      <c r="I44" s="6"/>
      <c r="J44" s="6"/>
      <c r="K44" s="6"/>
      <c r="L44" s="7" t="n">
        <f aca="false">E44*(IF(F44=1,I44*0.03,0)+IF(G44=1,J44*0.35,0)+IF(H44=1,K44*0.17,0))</f>
        <v>0</v>
      </c>
    </row>
    <row r="45" customFormat="false" ht="15" hidden="false" customHeight="false" outlineLevel="0" collapsed="false">
      <c r="A45" s="8" t="s">
        <v>57</v>
      </c>
      <c r="B45" s="8" t="n">
        <v>2.49</v>
      </c>
      <c r="C45" s="9" t="s">
        <v>63</v>
      </c>
      <c r="D45" s="8" t="s">
        <v>23</v>
      </c>
      <c r="E45" s="8" t="n">
        <v>0.03196</v>
      </c>
      <c r="F45" s="8" t="n">
        <v>1</v>
      </c>
      <c r="G45" s="8" t="n">
        <v>1</v>
      </c>
      <c r="H45" s="8" t="n">
        <v>1</v>
      </c>
      <c r="I45" s="6"/>
      <c r="J45" s="6"/>
      <c r="K45" s="6"/>
      <c r="L45" s="10" t="n">
        <f aca="false">E45*(IF(F45=1,I45*0.03,0)+IF(G45=1,J45*0.35,0)+IF(H45=1,K45*0.17,0))</f>
        <v>0</v>
      </c>
    </row>
    <row r="46" customFormat="false" ht="15" hidden="false" customHeight="false" outlineLevel="0" collapsed="false">
      <c r="A46" s="4" t="s">
        <v>57</v>
      </c>
      <c r="B46" s="4" t="n">
        <v>2.49</v>
      </c>
      <c r="C46" s="5" t="s">
        <v>64</v>
      </c>
      <c r="D46" s="4" t="s">
        <v>23</v>
      </c>
      <c r="E46" s="4" t="n">
        <v>0.03196</v>
      </c>
      <c r="F46" s="4" t="n">
        <v>1</v>
      </c>
      <c r="G46" s="4" t="n">
        <v>1</v>
      </c>
      <c r="H46" s="4" t="n">
        <v>1</v>
      </c>
      <c r="I46" s="6"/>
      <c r="J46" s="6"/>
      <c r="K46" s="6"/>
      <c r="L46" s="7" t="n">
        <f aca="false">E46*(IF(F46=1,I46*0.03,0)+IF(G46=1,J46*0.35,0)+IF(H46=1,K46*0.17,0))</f>
        <v>0</v>
      </c>
    </row>
    <row r="47" customFormat="false" ht="15" hidden="false" customHeight="false" outlineLevel="0" collapsed="false">
      <c r="A47" s="8" t="s">
        <v>57</v>
      </c>
      <c r="B47" s="8" t="n">
        <v>2.49</v>
      </c>
      <c r="C47" s="9" t="s">
        <v>65</v>
      </c>
      <c r="D47" s="8" t="s">
        <v>23</v>
      </c>
      <c r="E47" s="8" t="n">
        <v>0.03196</v>
      </c>
      <c r="F47" s="8" t="n">
        <v>1</v>
      </c>
      <c r="G47" s="8" t="n">
        <v>1</v>
      </c>
      <c r="H47" s="8" t="n">
        <v>1</v>
      </c>
      <c r="I47" s="6"/>
      <c r="J47" s="6"/>
      <c r="K47" s="6"/>
      <c r="L47" s="10" t="n">
        <f aca="false">E47*(IF(F47=1,I47*0.03,0)+IF(G47=1,J47*0.35,0)+IF(H47=1,K47*0.17,0))</f>
        <v>0</v>
      </c>
    </row>
    <row r="48" customFormat="false" ht="15" hidden="false" customHeight="false" outlineLevel="0" collapsed="false">
      <c r="A48" s="4" t="s">
        <v>57</v>
      </c>
      <c r="B48" s="4" t="n">
        <v>2.49</v>
      </c>
      <c r="C48" s="5" t="s">
        <v>66</v>
      </c>
      <c r="D48" s="4" t="s">
        <v>23</v>
      </c>
      <c r="E48" s="4" t="n">
        <v>0.03196</v>
      </c>
      <c r="F48" s="4" t="n">
        <v>1</v>
      </c>
      <c r="G48" s="4" t="n">
        <v>1</v>
      </c>
      <c r="H48" s="4" t="n">
        <v>1</v>
      </c>
      <c r="I48" s="6"/>
      <c r="J48" s="6"/>
      <c r="K48" s="6"/>
      <c r="L48" s="7" t="n">
        <f aca="false">E48*(IF(F48=1,I48*0.03,0)+IF(G48=1,J48*0.35,0)+IF(H48=1,K48*0.17,0))</f>
        <v>0</v>
      </c>
    </row>
    <row r="49" customFormat="false" ht="15" hidden="false" customHeight="false" outlineLevel="0" collapsed="false">
      <c r="A49" s="8" t="s">
        <v>57</v>
      </c>
      <c r="B49" s="8" t="n">
        <v>2.49</v>
      </c>
      <c r="C49" s="9" t="s">
        <v>67</v>
      </c>
      <c r="D49" s="8" t="s">
        <v>23</v>
      </c>
      <c r="E49" s="8" t="n">
        <v>0.03196</v>
      </c>
      <c r="F49" s="8" t="n">
        <v>1</v>
      </c>
      <c r="G49" s="8" t="n">
        <v>1</v>
      </c>
      <c r="H49" s="8" t="n">
        <v>1</v>
      </c>
      <c r="I49" s="6"/>
      <c r="J49" s="6"/>
      <c r="K49" s="6"/>
      <c r="L49" s="10" t="n">
        <f aca="false">E49*(IF(F49=1,I49*0.03,0)+IF(G49=1,J49*0.35,0)+IF(H49=1,K49*0.17,0))</f>
        <v>0</v>
      </c>
    </row>
    <row r="50" customFormat="false" ht="15" hidden="false" customHeight="false" outlineLevel="0" collapsed="false">
      <c r="A50" s="4" t="s">
        <v>57</v>
      </c>
      <c r="B50" s="4" t="n">
        <v>2.49</v>
      </c>
      <c r="C50" s="5" t="s">
        <v>68</v>
      </c>
      <c r="D50" s="4" t="s">
        <v>29</v>
      </c>
      <c r="E50" s="4" t="n">
        <v>0.114171</v>
      </c>
      <c r="F50" s="4" t="n">
        <v>1</v>
      </c>
      <c r="G50" s="4" t="n">
        <v>1</v>
      </c>
      <c r="H50" s="4" t="n">
        <v>1</v>
      </c>
      <c r="I50" s="6"/>
      <c r="J50" s="6"/>
      <c r="K50" s="6"/>
      <c r="L50" s="7" t="n">
        <f aca="false">E50*(IF(F50=1,I50*0.03,0)+IF(G50=1,J50*0.35,0)+IF(H50=1,K50*0.17,0))</f>
        <v>0</v>
      </c>
    </row>
    <row r="51" customFormat="false" ht="15" hidden="false" customHeight="false" outlineLevel="0" collapsed="false">
      <c r="A51" s="8" t="s">
        <v>57</v>
      </c>
      <c r="B51" s="8" t="n">
        <v>2.49</v>
      </c>
      <c r="C51" s="9" t="s">
        <v>69</v>
      </c>
      <c r="D51" s="8" t="s">
        <v>29</v>
      </c>
      <c r="E51" s="8" t="n">
        <v>0.114171</v>
      </c>
      <c r="F51" s="8" t="n">
        <v>1</v>
      </c>
      <c r="G51" s="8" t="n">
        <v>1</v>
      </c>
      <c r="H51" s="8" t="n">
        <v>1</v>
      </c>
      <c r="I51" s="6"/>
      <c r="J51" s="6"/>
      <c r="K51" s="6"/>
      <c r="L51" s="10" t="n">
        <f aca="false">E51*(IF(F51=1,I51*0.03,0)+IF(G51=1,J51*0.35,0)+IF(H51=1,K51*0.17,0))</f>
        <v>0</v>
      </c>
    </row>
    <row r="52" customFormat="false" ht="15" hidden="false" customHeight="false" outlineLevel="0" collapsed="false">
      <c r="A52" s="4" t="s">
        <v>57</v>
      </c>
      <c r="B52" s="4" t="n">
        <v>2.49</v>
      </c>
      <c r="C52" s="5" t="s">
        <v>70</v>
      </c>
      <c r="D52" s="4" t="s">
        <v>29</v>
      </c>
      <c r="E52" s="4" t="n">
        <v>0.114171</v>
      </c>
      <c r="F52" s="4" t="n">
        <v>1</v>
      </c>
      <c r="G52" s="4" t="n">
        <v>1</v>
      </c>
      <c r="H52" s="4" t="n">
        <v>1</v>
      </c>
      <c r="I52" s="6"/>
      <c r="J52" s="6"/>
      <c r="K52" s="6"/>
      <c r="L52" s="7" t="n">
        <f aca="false">E52*(IF(F52=1,I52*0.03,0)+IF(G52=1,J52*0.35,0)+IF(H52=1,K52*0.17,0))</f>
        <v>0</v>
      </c>
    </row>
    <row r="53" customFormat="false" ht="15" hidden="false" customHeight="false" outlineLevel="0" collapsed="false">
      <c r="A53" s="8" t="s">
        <v>57</v>
      </c>
      <c r="B53" s="8" t="n">
        <v>2.49</v>
      </c>
      <c r="C53" s="9" t="s">
        <v>71</v>
      </c>
      <c r="D53" s="8" t="s">
        <v>29</v>
      </c>
      <c r="E53" s="8" t="n">
        <v>0.114171</v>
      </c>
      <c r="F53" s="8" t="n">
        <v>1</v>
      </c>
      <c r="G53" s="8" t="n">
        <v>1</v>
      </c>
      <c r="H53" s="8" t="n">
        <v>1</v>
      </c>
      <c r="I53" s="6"/>
      <c r="J53" s="6"/>
      <c r="K53" s="6"/>
      <c r="L53" s="10" t="n">
        <f aca="false">E53*(IF(F53=1,I53*0.03,0)+IF(G53=1,J53*0.35,0)+IF(H53=1,K53*0.17,0))</f>
        <v>0</v>
      </c>
    </row>
    <row r="54" customFormat="false" ht="15" hidden="false" customHeight="false" outlineLevel="0" collapsed="false">
      <c r="A54" s="4" t="s">
        <v>57</v>
      </c>
      <c r="B54" s="4" t="n">
        <v>2.49</v>
      </c>
      <c r="C54" s="5" t="s">
        <v>72</v>
      </c>
      <c r="D54" s="4" t="s">
        <v>29</v>
      </c>
      <c r="E54" s="4" t="n">
        <v>0.114171</v>
      </c>
      <c r="F54" s="4" t="n">
        <v>1</v>
      </c>
      <c r="G54" s="4" t="n">
        <v>1</v>
      </c>
      <c r="H54" s="4" t="n">
        <v>1</v>
      </c>
      <c r="I54" s="6"/>
      <c r="J54" s="6"/>
      <c r="K54" s="6"/>
      <c r="L54" s="7" t="n">
        <f aca="false">E54*(IF(F54=1,I54*0.03,0)+IF(G54=1,J54*0.35,0)+IF(H54=1,K54*0.17,0))</f>
        <v>0</v>
      </c>
    </row>
    <row r="55" customFormat="false" ht="15" hidden="false" customHeight="false" outlineLevel="0" collapsed="false">
      <c r="A55" s="8" t="s">
        <v>57</v>
      </c>
      <c r="B55" s="8" t="n">
        <v>2.49</v>
      </c>
      <c r="C55" s="9" t="s">
        <v>73</v>
      </c>
      <c r="D55" s="8" t="s">
        <v>29</v>
      </c>
      <c r="E55" s="8" t="n">
        <v>0.114171</v>
      </c>
      <c r="F55" s="8" t="n">
        <v>1</v>
      </c>
      <c r="G55" s="8" t="n">
        <v>1</v>
      </c>
      <c r="H55" s="8" t="n">
        <v>1</v>
      </c>
      <c r="I55" s="6"/>
      <c r="J55" s="6"/>
      <c r="K55" s="6"/>
      <c r="L55" s="10" t="n">
        <f aca="false">E55*(IF(F55=1,I55*0.03,0)+IF(G55=1,J55*0.35,0)+IF(H55=1,K55*0.17,0))</f>
        <v>0</v>
      </c>
    </row>
    <row r="56" customFormat="false" ht="15" hidden="false" customHeight="false" outlineLevel="0" collapsed="false">
      <c r="A56" s="4" t="s">
        <v>57</v>
      </c>
      <c r="B56" s="4" t="n">
        <v>2.49</v>
      </c>
      <c r="C56" s="5" t="s">
        <v>74</v>
      </c>
      <c r="D56" s="4" t="s">
        <v>29</v>
      </c>
      <c r="E56" s="4" t="n">
        <v>0.114171</v>
      </c>
      <c r="F56" s="4" t="n">
        <v>1</v>
      </c>
      <c r="G56" s="4" t="n">
        <v>1</v>
      </c>
      <c r="H56" s="4" t="n">
        <v>1</v>
      </c>
      <c r="I56" s="6"/>
      <c r="J56" s="6"/>
      <c r="K56" s="6"/>
      <c r="L56" s="7" t="n">
        <f aca="false">E56*(IF(F56=1,I56*0.03,0)+IF(G56=1,J56*0.35,0)+IF(H56=1,K56*0.17,0))</f>
        <v>0</v>
      </c>
    </row>
    <row r="57" customFormat="false" ht="15" hidden="false" customHeight="false" outlineLevel="0" collapsed="false">
      <c r="A57" s="8" t="s">
        <v>57</v>
      </c>
      <c r="B57" s="8" t="n">
        <v>2.49</v>
      </c>
      <c r="C57" s="9" t="s">
        <v>75</v>
      </c>
      <c r="D57" s="8" t="s">
        <v>37</v>
      </c>
      <c r="E57" s="8" t="n">
        <v>0.0026</v>
      </c>
      <c r="F57" s="8" t="n">
        <v>1</v>
      </c>
      <c r="G57" s="8" t="n">
        <v>1</v>
      </c>
      <c r="H57" s="8" t="n">
        <v>1</v>
      </c>
      <c r="I57" s="6"/>
      <c r="J57" s="6"/>
      <c r="K57" s="6"/>
      <c r="L57" s="10" t="n">
        <f aca="false">E57*(IF(F57=1,I57*0.03,0)+IF(G57=1,J57*0.35,0)+IF(H57=1,K57*0.17,0))</f>
        <v>0</v>
      </c>
    </row>
    <row r="58" customFormat="false" ht="15" hidden="false" customHeight="false" outlineLevel="0" collapsed="false">
      <c r="A58" s="4" t="s">
        <v>76</v>
      </c>
      <c r="B58" s="4" t="n">
        <v>2.49</v>
      </c>
      <c r="C58" s="5" t="s">
        <v>77</v>
      </c>
      <c r="D58" s="4" t="s">
        <v>16</v>
      </c>
      <c r="E58" s="4" t="n">
        <v>0.0032</v>
      </c>
      <c r="F58" s="4" t="n">
        <v>1</v>
      </c>
      <c r="G58" s="4" t="n">
        <v>1</v>
      </c>
      <c r="H58" s="4" t="n">
        <v>1</v>
      </c>
      <c r="I58" s="6"/>
      <c r="J58" s="6"/>
      <c r="K58" s="6"/>
      <c r="L58" s="7" t="n">
        <f aca="false">E58*(IF(F58=1,I58*0.03,0)+IF(G58=1,J58*0.35,0)+IF(H58=1,K58*0.17,0))</f>
        <v>0</v>
      </c>
    </row>
    <row r="59" customFormat="false" ht="15" hidden="false" customHeight="false" outlineLevel="0" collapsed="false">
      <c r="A59" s="8" t="s">
        <v>76</v>
      </c>
      <c r="B59" s="8" t="n">
        <v>2.49</v>
      </c>
      <c r="C59" s="9" t="s">
        <v>78</v>
      </c>
      <c r="D59" s="8" t="s">
        <v>16</v>
      </c>
      <c r="E59" s="8" t="n">
        <v>0.0032</v>
      </c>
      <c r="F59" s="8" t="n">
        <v>1</v>
      </c>
      <c r="G59" s="8" t="n">
        <v>1</v>
      </c>
      <c r="H59" s="8" t="n">
        <v>1</v>
      </c>
      <c r="I59" s="6"/>
      <c r="J59" s="6"/>
      <c r="K59" s="6"/>
      <c r="L59" s="10" t="n">
        <f aca="false">E59*(IF(F59=1,I59*0.03,0)+IF(G59=1,J59*0.35,0)+IF(H59=1,K59*0.17,0))</f>
        <v>0</v>
      </c>
    </row>
    <row r="60" customFormat="false" ht="15" hidden="false" customHeight="false" outlineLevel="0" collapsed="false">
      <c r="A60" s="4" t="s">
        <v>76</v>
      </c>
      <c r="B60" s="4" t="n">
        <v>2.49</v>
      </c>
      <c r="C60" s="5" t="s">
        <v>79</v>
      </c>
      <c r="D60" s="4" t="s">
        <v>19</v>
      </c>
      <c r="E60" s="4" t="n">
        <v>0.010667</v>
      </c>
      <c r="F60" s="4" t="n">
        <v>1</v>
      </c>
      <c r="G60" s="4" t="n">
        <v>1</v>
      </c>
      <c r="H60" s="4" t="n">
        <v>1</v>
      </c>
      <c r="I60" s="6"/>
      <c r="J60" s="6"/>
      <c r="K60" s="6"/>
      <c r="L60" s="7" t="n">
        <f aca="false">E60*(IF(F60=1,I60*0.03,0)+IF(G60=1,J60*0.35,0)+IF(H60=1,K60*0.17,0))</f>
        <v>0</v>
      </c>
    </row>
    <row r="61" customFormat="false" ht="15" hidden="false" customHeight="false" outlineLevel="0" collapsed="false">
      <c r="A61" s="8" t="s">
        <v>76</v>
      </c>
      <c r="B61" s="8" t="n">
        <v>2.49</v>
      </c>
      <c r="C61" s="9" t="s">
        <v>80</v>
      </c>
      <c r="D61" s="8" t="s">
        <v>19</v>
      </c>
      <c r="E61" s="8" t="n">
        <v>0.010667</v>
      </c>
      <c r="F61" s="8" t="n">
        <v>1</v>
      </c>
      <c r="G61" s="8" t="n">
        <v>1</v>
      </c>
      <c r="H61" s="8" t="n">
        <v>0</v>
      </c>
      <c r="I61" s="6"/>
      <c r="J61" s="6"/>
      <c r="K61" s="6"/>
      <c r="L61" s="10" t="n">
        <f aca="false">E61*(IF(F61=1,I61*0.03,0)+IF(G61=1,J61*0.35,0)+IF(H61=1,K61*0.17,0))</f>
        <v>0</v>
      </c>
    </row>
    <row r="62" customFormat="false" ht="15" hidden="false" customHeight="false" outlineLevel="0" collapsed="false">
      <c r="A62" s="4" t="s">
        <v>76</v>
      </c>
      <c r="B62" s="4" t="n">
        <v>2.49</v>
      </c>
      <c r="C62" s="5" t="s">
        <v>81</v>
      </c>
      <c r="D62" s="4" t="s">
        <v>19</v>
      </c>
      <c r="E62" s="4" t="n">
        <v>0.010667</v>
      </c>
      <c r="F62" s="4" t="n">
        <v>1</v>
      </c>
      <c r="G62" s="4" t="n">
        <v>1</v>
      </c>
      <c r="H62" s="4" t="n">
        <v>1</v>
      </c>
      <c r="I62" s="6"/>
      <c r="J62" s="6"/>
      <c r="K62" s="6"/>
      <c r="L62" s="7" t="n">
        <f aca="false">E62*(IF(F62=1,I62*0.03,0)+IF(G62=1,J62*0.35,0)+IF(H62=1,K62*0.17,0))</f>
        <v>0</v>
      </c>
    </row>
    <row r="63" customFormat="false" ht="15" hidden="false" customHeight="false" outlineLevel="0" collapsed="false">
      <c r="A63" s="8" t="s">
        <v>76</v>
      </c>
      <c r="B63" s="8" t="n">
        <v>2.49</v>
      </c>
      <c r="C63" s="9" t="s">
        <v>82</v>
      </c>
      <c r="D63" s="8" t="s">
        <v>23</v>
      </c>
      <c r="E63" s="8" t="n">
        <v>0.03196</v>
      </c>
      <c r="F63" s="8" t="n">
        <v>1</v>
      </c>
      <c r="G63" s="8" t="n">
        <v>1</v>
      </c>
      <c r="H63" s="8" t="n">
        <v>1</v>
      </c>
      <c r="I63" s="6"/>
      <c r="J63" s="6"/>
      <c r="K63" s="6"/>
      <c r="L63" s="10" t="n">
        <f aca="false">E63*(IF(F63=1,I63*0.03,0)+IF(G63=1,J63*0.35,0)+IF(H63=1,K63*0.17,0))</f>
        <v>0</v>
      </c>
    </row>
    <row r="64" customFormat="false" ht="15" hidden="false" customHeight="false" outlineLevel="0" collapsed="false">
      <c r="A64" s="4" t="s">
        <v>76</v>
      </c>
      <c r="B64" s="4" t="n">
        <v>2.49</v>
      </c>
      <c r="C64" s="5" t="s">
        <v>83</v>
      </c>
      <c r="D64" s="4" t="s">
        <v>23</v>
      </c>
      <c r="E64" s="4" t="n">
        <v>0.03196</v>
      </c>
      <c r="F64" s="4" t="n">
        <v>1</v>
      </c>
      <c r="G64" s="4" t="n">
        <v>1</v>
      </c>
      <c r="H64" s="4" t="n">
        <v>1</v>
      </c>
      <c r="I64" s="6"/>
      <c r="J64" s="6"/>
      <c r="K64" s="6"/>
      <c r="L64" s="7" t="n">
        <f aca="false">E64*(IF(F64=1,I64*0.03,0)+IF(G64=1,J64*0.35,0)+IF(H64=1,K64*0.17,0))</f>
        <v>0</v>
      </c>
    </row>
    <row r="65" customFormat="false" ht="15" hidden="false" customHeight="false" outlineLevel="0" collapsed="false">
      <c r="A65" s="8" t="s">
        <v>76</v>
      </c>
      <c r="B65" s="8" t="n">
        <v>2.49</v>
      </c>
      <c r="C65" s="9" t="s">
        <v>84</v>
      </c>
      <c r="D65" s="8" t="s">
        <v>23</v>
      </c>
      <c r="E65" s="8" t="n">
        <v>0.03196</v>
      </c>
      <c r="F65" s="8" t="n">
        <v>1</v>
      </c>
      <c r="G65" s="8" t="n">
        <v>1</v>
      </c>
      <c r="H65" s="8" t="n">
        <v>1</v>
      </c>
      <c r="I65" s="6"/>
      <c r="J65" s="6"/>
      <c r="K65" s="6"/>
      <c r="L65" s="10" t="n">
        <f aca="false">E65*(IF(F65=1,I65*0.03,0)+IF(G65=1,J65*0.35,0)+IF(H65=1,K65*0.17,0))</f>
        <v>0</v>
      </c>
    </row>
    <row r="66" customFormat="false" ht="15" hidden="false" customHeight="false" outlineLevel="0" collapsed="false">
      <c r="A66" s="4" t="s">
        <v>76</v>
      </c>
      <c r="B66" s="4" t="n">
        <v>2.49</v>
      </c>
      <c r="C66" s="5" t="s">
        <v>85</v>
      </c>
      <c r="D66" s="4" t="s">
        <v>23</v>
      </c>
      <c r="E66" s="4" t="n">
        <v>0.03196</v>
      </c>
      <c r="F66" s="4" t="n">
        <v>1</v>
      </c>
      <c r="G66" s="4" t="n">
        <v>1</v>
      </c>
      <c r="H66" s="4" t="n">
        <v>1</v>
      </c>
      <c r="I66" s="6"/>
      <c r="J66" s="6"/>
      <c r="K66" s="6"/>
      <c r="L66" s="7" t="n">
        <f aca="false">E66*(IF(F66=1,I66*0.03,0)+IF(G66=1,J66*0.35,0)+IF(H66=1,K66*0.17,0))</f>
        <v>0</v>
      </c>
    </row>
    <row r="67" customFormat="false" ht="15" hidden="false" customHeight="false" outlineLevel="0" collapsed="false">
      <c r="A67" s="8" t="s">
        <v>76</v>
      </c>
      <c r="B67" s="8" t="n">
        <v>2.49</v>
      </c>
      <c r="C67" s="9" t="s">
        <v>86</v>
      </c>
      <c r="D67" s="8" t="s">
        <v>23</v>
      </c>
      <c r="E67" s="8" t="n">
        <v>0.03196</v>
      </c>
      <c r="F67" s="8" t="n">
        <v>1</v>
      </c>
      <c r="G67" s="8" t="n">
        <v>1</v>
      </c>
      <c r="H67" s="8" t="n">
        <v>1</v>
      </c>
      <c r="I67" s="6"/>
      <c r="J67" s="6"/>
      <c r="K67" s="6"/>
      <c r="L67" s="10" t="n">
        <f aca="false">E67*(IF(F67=1,I67*0.03,0)+IF(G67=1,J67*0.35,0)+IF(H67=1,K67*0.17,0))</f>
        <v>0</v>
      </c>
    </row>
    <row r="68" customFormat="false" ht="15" hidden="false" customHeight="false" outlineLevel="0" collapsed="false">
      <c r="A68" s="4" t="s">
        <v>76</v>
      </c>
      <c r="B68" s="4" t="n">
        <v>2.49</v>
      </c>
      <c r="C68" s="5" t="s">
        <v>87</v>
      </c>
      <c r="D68" s="4" t="s">
        <v>29</v>
      </c>
      <c r="E68" s="4" t="n">
        <v>0.114171</v>
      </c>
      <c r="F68" s="4" t="n">
        <v>1</v>
      </c>
      <c r="G68" s="4" t="n">
        <v>1</v>
      </c>
      <c r="H68" s="4" t="n">
        <v>1</v>
      </c>
      <c r="I68" s="6"/>
      <c r="J68" s="6"/>
      <c r="K68" s="6"/>
      <c r="L68" s="7" t="n">
        <f aca="false">E68*(IF(F68=1,I68*0.03,0)+IF(G68=1,J68*0.35,0)+IF(H68=1,K68*0.17,0))</f>
        <v>0</v>
      </c>
    </row>
    <row r="69" customFormat="false" ht="15" hidden="false" customHeight="false" outlineLevel="0" collapsed="false">
      <c r="A69" s="8" t="s">
        <v>76</v>
      </c>
      <c r="B69" s="8" t="n">
        <v>2.49</v>
      </c>
      <c r="C69" s="9" t="s">
        <v>88</v>
      </c>
      <c r="D69" s="8" t="s">
        <v>29</v>
      </c>
      <c r="E69" s="8" t="n">
        <v>0.114171</v>
      </c>
      <c r="F69" s="8" t="n">
        <v>1</v>
      </c>
      <c r="G69" s="8" t="n">
        <v>1</v>
      </c>
      <c r="H69" s="8" t="n">
        <v>1</v>
      </c>
      <c r="I69" s="6"/>
      <c r="J69" s="6"/>
      <c r="K69" s="6"/>
      <c r="L69" s="10" t="n">
        <f aca="false">E69*(IF(F69=1,I69*0.03,0)+IF(G69=1,J69*0.35,0)+IF(H69=1,K69*0.17,0))</f>
        <v>0</v>
      </c>
    </row>
    <row r="70" customFormat="false" ht="15" hidden="false" customHeight="false" outlineLevel="0" collapsed="false">
      <c r="A70" s="4" t="s">
        <v>76</v>
      </c>
      <c r="B70" s="4" t="n">
        <v>2.49</v>
      </c>
      <c r="C70" s="5" t="s">
        <v>89</v>
      </c>
      <c r="D70" s="4" t="s">
        <v>29</v>
      </c>
      <c r="E70" s="4" t="n">
        <v>0.114171</v>
      </c>
      <c r="F70" s="4" t="n">
        <v>1</v>
      </c>
      <c r="G70" s="4" t="n">
        <v>1</v>
      </c>
      <c r="H70" s="4" t="n">
        <v>1</v>
      </c>
      <c r="I70" s="6"/>
      <c r="J70" s="6"/>
      <c r="K70" s="6"/>
      <c r="L70" s="7" t="n">
        <f aca="false">E70*(IF(F70=1,I70*0.03,0)+IF(G70=1,J70*0.35,0)+IF(H70=1,K70*0.17,0))</f>
        <v>0</v>
      </c>
    </row>
    <row r="71" customFormat="false" ht="15" hidden="false" customHeight="false" outlineLevel="0" collapsed="false">
      <c r="A71" s="8" t="s">
        <v>76</v>
      </c>
      <c r="B71" s="8" t="n">
        <v>2.49</v>
      </c>
      <c r="C71" s="9" t="s">
        <v>90</v>
      </c>
      <c r="D71" s="8" t="s">
        <v>29</v>
      </c>
      <c r="E71" s="8" t="n">
        <v>0.114171</v>
      </c>
      <c r="F71" s="8" t="n">
        <v>1</v>
      </c>
      <c r="G71" s="8" t="n">
        <v>1</v>
      </c>
      <c r="H71" s="8" t="n">
        <v>1</v>
      </c>
      <c r="I71" s="6"/>
      <c r="J71" s="6"/>
      <c r="K71" s="6"/>
      <c r="L71" s="10" t="n">
        <f aca="false">E71*(IF(F71=1,I71*0.03,0)+IF(G71=1,J71*0.35,0)+IF(H71=1,K71*0.17,0))</f>
        <v>0</v>
      </c>
    </row>
    <row r="72" customFormat="false" ht="15" hidden="false" customHeight="false" outlineLevel="0" collapsed="false">
      <c r="A72" s="4" t="s">
        <v>76</v>
      </c>
      <c r="B72" s="4" t="n">
        <v>2.49</v>
      </c>
      <c r="C72" s="5" t="s">
        <v>91</v>
      </c>
      <c r="D72" s="4" t="s">
        <v>29</v>
      </c>
      <c r="E72" s="4" t="n">
        <v>0.114171</v>
      </c>
      <c r="F72" s="4" t="n">
        <v>1</v>
      </c>
      <c r="G72" s="4" t="n">
        <v>1</v>
      </c>
      <c r="H72" s="4" t="n">
        <v>1</v>
      </c>
      <c r="I72" s="6"/>
      <c r="J72" s="6"/>
      <c r="K72" s="6"/>
      <c r="L72" s="7" t="n">
        <f aca="false">E72*(IF(F72=1,I72*0.03,0)+IF(G72=1,J72*0.35,0)+IF(H72=1,K72*0.17,0))</f>
        <v>0</v>
      </c>
    </row>
    <row r="73" customFormat="false" ht="15" hidden="false" customHeight="false" outlineLevel="0" collapsed="false">
      <c r="A73" s="8" t="s">
        <v>76</v>
      </c>
      <c r="B73" s="8" t="n">
        <v>2.49</v>
      </c>
      <c r="C73" s="9" t="s">
        <v>92</v>
      </c>
      <c r="D73" s="8" t="s">
        <v>29</v>
      </c>
      <c r="E73" s="8" t="n">
        <v>0.114171</v>
      </c>
      <c r="F73" s="8" t="n">
        <v>1</v>
      </c>
      <c r="G73" s="8" t="n">
        <v>1</v>
      </c>
      <c r="H73" s="8" t="n">
        <v>1</v>
      </c>
      <c r="I73" s="6"/>
      <c r="J73" s="6"/>
      <c r="K73" s="6"/>
      <c r="L73" s="10" t="n">
        <f aca="false">E73*(IF(F73=1,I73*0.03,0)+IF(G73=1,J73*0.35,0)+IF(H73=1,K73*0.17,0))</f>
        <v>0</v>
      </c>
    </row>
    <row r="74" customFormat="false" ht="15" hidden="false" customHeight="false" outlineLevel="0" collapsed="false">
      <c r="A74" s="4" t="s">
        <v>76</v>
      </c>
      <c r="B74" s="4" t="n">
        <v>2.49</v>
      </c>
      <c r="C74" s="5" t="s">
        <v>93</v>
      </c>
      <c r="D74" s="4" t="s">
        <v>29</v>
      </c>
      <c r="E74" s="4" t="n">
        <v>0.114171</v>
      </c>
      <c r="F74" s="4" t="n">
        <v>1</v>
      </c>
      <c r="G74" s="4" t="n">
        <v>1</v>
      </c>
      <c r="H74" s="4" t="n">
        <v>1</v>
      </c>
      <c r="I74" s="6"/>
      <c r="J74" s="6"/>
      <c r="K74" s="6"/>
      <c r="L74" s="7" t="n">
        <f aca="false">E74*(IF(F74=1,I74*0.03,0)+IF(G74=1,J74*0.35,0)+IF(H74=1,K74*0.17,0))</f>
        <v>0</v>
      </c>
    </row>
    <row r="75" customFormat="false" ht="15" hidden="false" customHeight="false" outlineLevel="0" collapsed="false">
      <c r="A75" s="8" t="s">
        <v>76</v>
      </c>
      <c r="B75" s="8" t="n">
        <v>2.49</v>
      </c>
      <c r="C75" s="9" t="s">
        <v>56</v>
      </c>
      <c r="D75" s="8" t="s">
        <v>37</v>
      </c>
      <c r="E75" s="8" t="n">
        <v>0.0026</v>
      </c>
      <c r="F75" s="8" t="n">
        <v>1</v>
      </c>
      <c r="G75" s="8" t="n">
        <v>1</v>
      </c>
      <c r="H75" s="8" t="n">
        <v>1</v>
      </c>
      <c r="I75" s="6"/>
      <c r="J75" s="6"/>
      <c r="K75" s="6"/>
      <c r="L75" s="10" t="n">
        <f aca="false">E75*(IF(F75=1,I75*0.03,0)+IF(G75=1,J75*0.35,0)+IF(H75=1,K75*0.17,0))</f>
        <v>0</v>
      </c>
    </row>
    <row r="76" customFormat="false" ht="15" hidden="false" customHeight="false" outlineLevel="0" collapsed="false">
      <c r="A76" s="4" t="s">
        <v>94</v>
      </c>
      <c r="B76" s="4" t="n">
        <v>2.49</v>
      </c>
      <c r="C76" s="5" t="s">
        <v>95</v>
      </c>
      <c r="D76" s="4" t="s">
        <v>16</v>
      </c>
      <c r="E76" s="4" t="n">
        <v>0.0032</v>
      </c>
      <c r="F76" s="4" t="n">
        <v>1</v>
      </c>
      <c r="G76" s="4" t="n">
        <v>1</v>
      </c>
      <c r="H76" s="4" t="n">
        <v>1</v>
      </c>
      <c r="I76" s="6"/>
      <c r="J76" s="6"/>
      <c r="K76" s="6"/>
      <c r="L76" s="7" t="n">
        <f aca="false">E76*(IF(F76=1,I76*0.03,0)+IF(G76=1,J76*0.35,0)+IF(H76=1,K76*0.17,0))</f>
        <v>0</v>
      </c>
    </row>
    <row r="77" customFormat="false" ht="15" hidden="false" customHeight="false" outlineLevel="0" collapsed="false">
      <c r="A77" s="8" t="s">
        <v>94</v>
      </c>
      <c r="B77" s="8" t="n">
        <v>2.49</v>
      </c>
      <c r="C77" s="9" t="s">
        <v>96</v>
      </c>
      <c r="D77" s="8" t="s">
        <v>16</v>
      </c>
      <c r="E77" s="8" t="n">
        <v>0.0032</v>
      </c>
      <c r="F77" s="8" t="n">
        <v>1</v>
      </c>
      <c r="G77" s="8" t="n">
        <v>1</v>
      </c>
      <c r="H77" s="8" t="n">
        <v>0</v>
      </c>
      <c r="I77" s="6"/>
      <c r="J77" s="6"/>
      <c r="K77" s="6"/>
      <c r="L77" s="10" t="n">
        <f aca="false">E77*(IF(F77=1,I77*0.03,0)+IF(G77=1,J77*0.35,0)+IF(H77=1,K77*0.17,0))</f>
        <v>0</v>
      </c>
    </row>
    <row r="78" customFormat="false" ht="15" hidden="false" customHeight="false" outlineLevel="0" collapsed="false">
      <c r="A78" s="4" t="s">
        <v>94</v>
      </c>
      <c r="B78" s="4" t="n">
        <v>2.49</v>
      </c>
      <c r="C78" s="5" t="s">
        <v>97</v>
      </c>
      <c r="D78" s="4" t="s">
        <v>19</v>
      </c>
      <c r="E78" s="4" t="n">
        <v>0.010667</v>
      </c>
      <c r="F78" s="4" t="n">
        <v>1</v>
      </c>
      <c r="G78" s="4" t="n">
        <v>1</v>
      </c>
      <c r="H78" s="4" t="n">
        <v>1</v>
      </c>
      <c r="I78" s="6"/>
      <c r="J78" s="6"/>
      <c r="K78" s="6"/>
      <c r="L78" s="7" t="n">
        <f aca="false">E78*(IF(F78=1,I78*0.03,0)+IF(G78=1,J78*0.35,0)+IF(H78=1,K78*0.17,0))</f>
        <v>0</v>
      </c>
    </row>
    <row r="79" customFormat="false" ht="15" hidden="false" customHeight="false" outlineLevel="0" collapsed="false">
      <c r="A79" s="8" t="s">
        <v>94</v>
      </c>
      <c r="B79" s="8" t="n">
        <v>2.49</v>
      </c>
      <c r="C79" s="9" t="s">
        <v>98</v>
      </c>
      <c r="D79" s="8" t="s">
        <v>19</v>
      </c>
      <c r="E79" s="8" t="n">
        <v>0.010667</v>
      </c>
      <c r="F79" s="8" t="n">
        <v>1</v>
      </c>
      <c r="G79" s="8" t="n">
        <v>1</v>
      </c>
      <c r="H79" s="8" t="n">
        <v>1</v>
      </c>
      <c r="I79" s="6"/>
      <c r="J79" s="6"/>
      <c r="K79" s="6"/>
      <c r="L79" s="10" t="n">
        <f aca="false">E79*(IF(F79=1,I79*0.03,0)+IF(G79=1,J79*0.35,0)+IF(H79=1,K79*0.17,0))</f>
        <v>0</v>
      </c>
    </row>
    <row r="80" customFormat="false" ht="15" hidden="false" customHeight="false" outlineLevel="0" collapsed="false">
      <c r="A80" s="4" t="s">
        <v>94</v>
      </c>
      <c r="B80" s="4" t="n">
        <v>2.49</v>
      </c>
      <c r="C80" s="5" t="s">
        <v>99</v>
      </c>
      <c r="D80" s="4" t="s">
        <v>19</v>
      </c>
      <c r="E80" s="4" t="n">
        <v>0.010667</v>
      </c>
      <c r="F80" s="4" t="n">
        <v>1</v>
      </c>
      <c r="G80" s="4" t="n">
        <v>1</v>
      </c>
      <c r="H80" s="4" t="n">
        <v>1</v>
      </c>
      <c r="I80" s="6"/>
      <c r="J80" s="6"/>
      <c r="K80" s="6"/>
      <c r="L80" s="7" t="n">
        <f aca="false">E80*(IF(F80=1,I80*0.03,0)+IF(G80=1,J80*0.35,0)+IF(H80=1,K80*0.17,0))</f>
        <v>0</v>
      </c>
    </row>
    <row r="81" customFormat="false" ht="15" hidden="false" customHeight="false" outlineLevel="0" collapsed="false">
      <c r="A81" s="8" t="s">
        <v>94</v>
      </c>
      <c r="B81" s="8" t="n">
        <v>2.49</v>
      </c>
      <c r="C81" s="9" t="s">
        <v>100</v>
      </c>
      <c r="D81" s="8" t="s">
        <v>23</v>
      </c>
      <c r="E81" s="8" t="n">
        <v>0.03995</v>
      </c>
      <c r="F81" s="8" t="n">
        <v>1</v>
      </c>
      <c r="G81" s="8" t="n">
        <v>1</v>
      </c>
      <c r="H81" s="8" t="n">
        <v>1</v>
      </c>
      <c r="I81" s="6"/>
      <c r="J81" s="6"/>
      <c r="K81" s="6"/>
      <c r="L81" s="10" t="n">
        <f aca="false">E81*(IF(F81=1,I81*0.03,0)+IF(G81=1,J81*0.35,0)+IF(H81=1,K81*0.17,0))</f>
        <v>0</v>
      </c>
    </row>
    <row r="82" customFormat="false" ht="15" hidden="false" customHeight="false" outlineLevel="0" collapsed="false">
      <c r="A82" s="4" t="s">
        <v>94</v>
      </c>
      <c r="B82" s="4" t="n">
        <v>2.49</v>
      </c>
      <c r="C82" s="5" t="s">
        <v>101</v>
      </c>
      <c r="D82" s="4" t="s">
        <v>23</v>
      </c>
      <c r="E82" s="4" t="n">
        <v>0.03995</v>
      </c>
      <c r="F82" s="4" t="n">
        <v>1</v>
      </c>
      <c r="G82" s="4" t="n">
        <v>1</v>
      </c>
      <c r="H82" s="4" t="n">
        <v>1</v>
      </c>
      <c r="I82" s="6"/>
      <c r="J82" s="6"/>
      <c r="K82" s="6"/>
      <c r="L82" s="7" t="n">
        <f aca="false">E82*(IF(F82=1,I82*0.03,0)+IF(G82=1,J82*0.35,0)+IF(H82=1,K82*0.17,0))</f>
        <v>0</v>
      </c>
    </row>
    <row r="83" customFormat="false" ht="15" hidden="false" customHeight="false" outlineLevel="0" collapsed="false">
      <c r="A83" s="8" t="s">
        <v>94</v>
      </c>
      <c r="B83" s="8" t="n">
        <v>2.49</v>
      </c>
      <c r="C83" s="9" t="s">
        <v>102</v>
      </c>
      <c r="D83" s="8" t="s">
        <v>23</v>
      </c>
      <c r="E83" s="8" t="n">
        <v>0.03995</v>
      </c>
      <c r="F83" s="8" t="n">
        <v>1</v>
      </c>
      <c r="G83" s="8" t="n">
        <v>1</v>
      </c>
      <c r="H83" s="8" t="n">
        <v>1</v>
      </c>
      <c r="I83" s="6"/>
      <c r="J83" s="6"/>
      <c r="K83" s="6"/>
      <c r="L83" s="10" t="n">
        <f aca="false">E83*(IF(F83=1,I83*0.03,0)+IF(G83=1,J83*0.35,0)+IF(H83=1,K83*0.17,0))</f>
        <v>0</v>
      </c>
    </row>
    <row r="84" customFormat="false" ht="15" hidden="false" customHeight="false" outlineLevel="0" collapsed="false">
      <c r="A84" s="4" t="s">
        <v>94</v>
      </c>
      <c r="B84" s="4" t="n">
        <v>2.49</v>
      </c>
      <c r="C84" s="5" t="s">
        <v>103</v>
      </c>
      <c r="D84" s="4" t="s">
        <v>23</v>
      </c>
      <c r="E84" s="4" t="n">
        <v>0.03995</v>
      </c>
      <c r="F84" s="4" t="n">
        <v>1</v>
      </c>
      <c r="G84" s="4" t="n">
        <v>1</v>
      </c>
      <c r="H84" s="4" t="n">
        <v>1</v>
      </c>
      <c r="I84" s="6"/>
      <c r="J84" s="6"/>
      <c r="K84" s="6"/>
      <c r="L84" s="7" t="n">
        <f aca="false">E84*(IF(F84=1,I84*0.03,0)+IF(G84=1,J84*0.35,0)+IF(H84=1,K84*0.17,0))</f>
        <v>0</v>
      </c>
    </row>
    <row r="85" customFormat="false" ht="15" hidden="false" customHeight="false" outlineLevel="0" collapsed="false">
      <c r="A85" s="8" t="s">
        <v>94</v>
      </c>
      <c r="B85" s="8" t="n">
        <v>2.49</v>
      </c>
      <c r="C85" s="9" t="s">
        <v>104</v>
      </c>
      <c r="D85" s="8" t="s">
        <v>29</v>
      </c>
      <c r="E85" s="8" t="n">
        <v>0.15984</v>
      </c>
      <c r="F85" s="8" t="n">
        <v>1</v>
      </c>
      <c r="G85" s="8" t="n">
        <v>1</v>
      </c>
      <c r="H85" s="8" t="n">
        <v>1</v>
      </c>
      <c r="I85" s="6"/>
      <c r="J85" s="6"/>
      <c r="K85" s="6"/>
      <c r="L85" s="10" t="n">
        <f aca="false">E85*(IF(F85=1,I85*0.03,0)+IF(G85=1,J85*0.35,0)+IF(H85=1,K85*0.17,0))</f>
        <v>0</v>
      </c>
    </row>
    <row r="86" customFormat="false" ht="15" hidden="false" customHeight="false" outlineLevel="0" collapsed="false">
      <c r="A86" s="4" t="s">
        <v>94</v>
      </c>
      <c r="B86" s="4" t="n">
        <v>2.49</v>
      </c>
      <c r="C86" s="5" t="s">
        <v>105</v>
      </c>
      <c r="D86" s="4" t="s">
        <v>29</v>
      </c>
      <c r="E86" s="4" t="n">
        <v>0.15984</v>
      </c>
      <c r="F86" s="4" t="n">
        <v>1</v>
      </c>
      <c r="G86" s="4" t="n">
        <v>1</v>
      </c>
      <c r="H86" s="4" t="n">
        <v>1</v>
      </c>
      <c r="I86" s="6"/>
      <c r="J86" s="6"/>
      <c r="K86" s="6"/>
      <c r="L86" s="7" t="n">
        <f aca="false">E86*(IF(F86=1,I86*0.03,0)+IF(G86=1,J86*0.35,0)+IF(H86=1,K86*0.17,0))</f>
        <v>0</v>
      </c>
    </row>
    <row r="87" customFormat="false" ht="15" hidden="false" customHeight="false" outlineLevel="0" collapsed="false">
      <c r="A87" s="8" t="s">
        <v>94</v>
      </c>
      <c r="B87" s="8" t="n">
        <v>2.49</v>
      </c>
      <c r="C87" s="9" t="s">
        <v>106</v>
      </c>
      <c r="D87" s="8" t="s">
        <v>29</v>
      </c>
      <c r="E87" s="8" t="n">
        <v>0.15984</v>
      </c>
      <c r="F87" s="8" t="n">
        <v>1</v>
      </c>
      <c r="G87" s="8" t="n">
        <v>1</v>
      </c>
      <c r="H87" s="8" t="n">
        <v>1</v>
      </c>
      <c r="I87" s="6"/>
      <c r="J87" s="6"/>
      <c r="K87" s="6"/>
      <c r="L87" s="10" t="n">
        <f aca="false">E87*(IF(F87=1,I87*0.03,0)+IF(G87=1,J87*0.35,0)+IF(H87=1,K87*0.17,0))</f>
        <v>0</v>
      </c>
    </row>
    <row r="88" customFormat="false" ht="15" hidden="false" customHeight="false" outlineLevel="0" collapsed="false">
      <c r="A88" s="4" t="s">
        <v>94</v>
      </c>
      <c r="B88" s="4" t="n">
        <v>2.49</v>
      </c>
      <c r="C88" s="5" t="s">
        <v>107</v>
      </c>
      <c r="D88" s="4" t="s">
        <v>29</v>
      </c>
      <c r="E88" s="4" t="n">
        <v>0.15984</v>
      </c>
      <c r="F88" s="4" t="n">
        <v>1</v>
      </c>
      <c r="G88" s="4" t="n">
        <v>1</v>
      </c>
      <c r="H88" s="4" t="n">
        <v>1</v>
      </c>
      <c r="I88" s="6"/>
      <c r="J88" s="6"/>
      <c r="K88" s="6"/>
      <c r="L88" s="7" t="n">
        <f aca="false">E88*(IF(F88=1,I88*0.03,0)+IF(G88=1,J88*0.35,0)+IF(H88=1,K88*0.17,0))</f>
        <v>0</v>
      </c>
    </row>
    <row r="89" customFormat="false" ht="15" hidden="false" customHeight="false" outlineLevel="0" collapsed="false">
      <c r="A89" s="8" t="s">
        <v>94</v>
      </c>
      <c r="B89" s="8" t="n">
        <v>2.49</v>
      </c>
      <c r="C89" s="9" t="s">
        <v>108</v>
      </c>
      <c r="D89" s="8" t="s">
        <v>29</v>
      </c>
      <c r="E89" s="8" t="n">
        <v>0.15984</v>
      </c>
      <c r="F89" s="8" t="n">
        <v>1</v>
      </c>
      <c r="G89" s="8" t="n">
        <v>1</v>
      </c>
      <c r="H89" s="8" t="n">
        <v>1</v>
      </c>
      <c r="I89" s="6"/>
      <c r="J89" s="6"/>
      <c r="K89" s="6"/>
      <c r="L89" s="10" t="n">
        <f aca="false">E89*(IF(F89=1,I89*0.03,0)+IF(G89=1,J89*0.35,0)+IF(H89=1,K89*0.17,0))</f>
        <v>0</v>
      </c>
    </row>
    <row r="90" customFormat="false" ht="15" hidden="false" customHeight="false" outlineLevel="0" collapsed="false">
      <c r="A90" s="4" t="s">
        <v>94</v>
      </c>
      <c r="B90" s="4" t="n">
        <v>2.49</v>
      </c>
      <c r="C90" s="5" t="s">
        <v>75</v>
      </c>
      <c r="D90" s="4" t="s">
        <v>37</v>
      </c>
      <c r="E90" s="4" t="n">
        <v>0.0026</v>
      </c>
      <c r="F90" s="4" t="n">
        <v>1</v>
      </c>
      <c r="G90" s="4" t="n">
        <v>1</v>
      </c>
      <c r="H90" s="4" t="n">
        <v>1</v>
      </c>
      <c r="I90" s="6"/>
      <c r="J90" s="6"/>
      <c r="K90" s="6"/>
      <c r="L90" s="7" t="n">
        <f aca="false">E90*(IF(F90=1,I90*0.03,0)+IF(G90=1,J90*0.35,0)+IF(H90=1,K90*0.17,0))</f>
        <v>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35"/>
  </cols>
  <sheetData>
    <row r="1" customFormat="false" ht="21.7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110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1" t="s">
        <v>4</v>
      </c>
      <c r="B3" s="11" t="s">
        <v>111</v>
      </c>
      <c r="C3" s="11" t="s">
        <v>11</v>
      </c>
      <c r="D3" s="11" t="s">
        <v>10</v>
      </c>
      <c r="E3" s="11" t="s">
        <v>112</v>
      </c>
    </row>
    <row r="4" customFormat="false" ht="15" hidden="false" customHeight="false" outlineLevel="0" collapsed="false">
      <c r="A4" s="5" t="s">
        <v>58</v>
      </c>
      <c r="B4" s="4" t="s">
        <v>57</v>
      </c>
      <c r="C4" s="6"/>
      <c r="D4" s="6"/>
      <c r="E4" s="12" t="s">
        <v>113</v>
      </c>
    </row>
    <row r="5" customFormat="false" ht="15" hidden="false" customHeight="false" outlineLevel="0" collapsed="false">
      <c r="A5" s="9" t="s">
        <v>59</v>
      </c>
      <c r="B5" s="8" t="s">
        <v>114</v>
      </c>
      <c r="C5" s="6"/>
      <c r="D5" s="6"/>
      <c r="E5" s="13" t="s">
        <v>115</v>
      </c>
    </row>
    <row r="6" customFormat="false" ht="15" hidden="false" customHeight="false" outlineLevel="0" collapsed="false">
      <c r="A6" s="5" t="s">
        <v>116</v>
      </c>
      <c r="B6" s="4" t="s">
        <v>38</v>
      </c>
      <c r="C6" s="6"/>
      <c r="D6" s="6"/>
      <c r="E6" s="12" t="s">
        <v>117</v>
      </c>
    </row>
    <row r="7" customFormat="false" ht="15" hidden="false" customHeight="false" outlineLevel="0" collapsed="false">
      <c r="A7" s="9" t="s">
        <v>118</v>
      </c>
      <c r="B7" s="8" t="s">
        <v>119</v>
      </c>
      <c r="C7" s="6"/>
      <c r="D7" s="6"/>
      <c r="E7" s="13"/>
    </row>
    <row r="8" customFormat="false" ht="15" hidden="false" customHeight="false" outlineLevel="0" collapsed="false">
      <c r="A8" s="5" t="s">
        <v>120</v>
      </c>
      <c r="B8" s="4" t="s">
        <v>121</v>
      </c>
      <c r="C8" s="6"/>
      <c r="D8" s="6"/>
      <c r="E8" s="12" t="s">
        <v>122</v>
      </c>
    </row>
    <row r="9" customFormat="false" ht="15" hidden="false" customHeight="false" outlineLevel="0" collapsed="false">
      <c r="A9" s="14" t="s">
        <v>123</v>
      </c>
      <c r="C9" s="15" t="n">
        <f aca="false">SUM(C4:C8)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" t="s">
        <v>124</v>
      </c>
      <c r="B1" s="1"/>
      <c r="C1" s="1"/>
    </row>
    <row r="2" customFormat="false" ht="15" hidden="false" customHeight="false" outlineLevel="0" collapsed="false">
      <c r="A2" s="16" t="s">
        <v>125</v>
      </c>
      <c r="B2" s="17"/>
      <c r="C2" s="18" t="s">
        <v>126</v>
      </c>
    </row>
    <row r="3" customFormat="false" ht="15" hidden="false" customHeight="false" outlineLevel="0" collapsed="false">
      <c r="A3" s="19" t="s">
        <v>29</v>
      </c>
      <c r="B3" s="17" t="s">
        <v>127</v>
      </c>
      <c r="C3" s="18"/>
    </row>
    <row r="4" customFormat="false" ht="15" hidden="false" customHeight="false" outlineLevel="0" collapsed="false">
      <c r="A4" s="19" t="s">
        <v>23</v>
      </c>
      <c r="B4" s="17" t="s">
        <v>128</v>
      </c>
      <c r="C4" s="18"/>
    </row>
    <row r="5" customFormat="false" ht="15" hidden="false" customHeight="false" outlineLevel="0" collapsed="false">
      <c r="A5" s="19" t="s">
        <v>19</v>
      </c>
      <c r="B5" s="17" t="s">
        <v>129</v>
      </c>
      <c r="C5" s="18"/>
    </row>
    <row r="6" customFormat="false" ht="15" hidden="false" customHeight="false" outlineLevel="0" collapsed="false">
      <c r="A6" s="19" t="s">
        <v>16</v>
      </c>
      <c r="B6" s="17" t="s">
        <v>130</v>
      </c>
      <c r="C6" s="18"/>
    </row>
    <row r="7" customFormat="false" ht="15" hidden="false" customHeight="false" outlineLevel="0" collapsed="false">
      <c r="A7" s="19" t="s">
        <v>37</v>
      </c>
      <c r="B7" s="17" t="s">
        <v>131</v>
      </c>
      <c r="C7" s="18"/>
    </row>
    <row r="8" customFormat="false" ht="15" hidden="false" customHeight="false" outlineLevel="0" collapsed="false">
      <c r="A8" s="20"/>
      <c r="B8" s="17"/>
      <c r="C8" s="18"/>
    </row>
    <row r="9" customFormat="false" ht="15" hidden="false" customHeight="false" outlineLevel="0" collapsed="false">
      <c r="A9" s="16" t="s">
        <v>132</v>
      </c>
      <c r="B9" s="17"/>
      <c r="C9" s="18" t="s">
        <v>133</v>
      </c>
    </row>
    <row r="10" customFormat="false" ht="15" hidden="false" customHeight="false" outlineLevel="0" collapsed="false">
      <c r="A10" s="19" t="s">
        <v>134</v>
      </c>
      <c r="B10" s="17" t="s">
        <v>135</v>
      </c>
      <c r="C10" s="18" t="s">
        <v>136</v>
      </c>
    </row>
    <row r="11" customFormat="false" ht="15" hidden="false" customHeight="false" outlineLevel="0" collapsed="false">
      <c r="A11" s="19" t="s">
        <v>137</v>
      </c>
      <c r="B11" s="17" t="s">
        <v>138</v>
      </c>
      <c r="C11" s="18" t="s">
        <v>139</v>
      </c>
    </row>
    <row r="12" customFormat="false" ht="15" hidden="false" customHeight="false" outlineLevel="0" collapsed="false">
      <c r="A12" s="19" t="s">
        <v>140</v>
      </c>
      <c r="B12" s="17" t="s">
        <v>141</v>
      </c>
      <c r="C12" s="18"/>
    </row>
    <row r="13" customFormat="false" ht="15" hidden="false" customHeight="false" outlineLevel="0" collapsed="false">
      <c r="A13" s="20"/>
      <c r="B13" s="17"/>
      <c r="C13" s="18"/>
    </row>
    <row r="14" customFormat="false" ht="15" hidden="false" customHeight="false" outlineLevel="0" collapsed="false">
      <c r="A14" s="16" t="s">
        <v>142</v>
      </c>
      <c r="B14" s="17"/>
      <c r="C14" s="18"/>
    </row>
    <row r="15" customFormat="false" ht="15" hidden="false" customHeight="false" outlineLevel="0" collapsed="false">
      <c r="A15" s="19" t="s">
        <v>143</v>
      </c>
      <c r="B15" s="17" t="s">
        <v>144</v>
      </c>
      <c r="C15" s="18" t="s">
        <v>145</v>
      </c>
    </row>
    <row r="16" customFormat="false" ht="15" hidden="false" customHeight="false" outlineLevel="0" collapsed="false">
      <c r="A16" s="19" t="s">
        <v>146</v>
      </c>
      <c r="B16" s="17" t="s">
        <v>147</v>
      </c>
      <c r="C16" s="18" t="s">
        <v>148</v>
      </c>
    </row>
    <row r="17" customFormat="false" ht="15" hidden="false" customHeight="false" outlineLevel="0" collapsed="false">
      <c r="A17" s="19" t="s">
        <v>149</v>
      </c>
      <c r="B17" s="17" t="s">
        <v>150</v>
      </c>
      <c r="C17" s="18" t="s">
        <v>151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2026-04-07T05:48:34Z</dcterms:created>
  <dc:creator>openpyxl</dc:creator>
  <dc:description/>
  <dc:language>en-US</dc:language>
  <cp:lastModifiedBy/>
  <dcterms:modified xsi:type="dcterms:W3CDTF">2026-04-07T05:48:34Z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